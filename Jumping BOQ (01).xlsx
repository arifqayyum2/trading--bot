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20" yWindow="-120" windowWidth="20730" windowHeight="11040"/>
  </bookViews>
  <sheets>
    <sheet name="Sheet1" sheetId="1" r:id="rId1"/>
  </sheets>
  <definedNames>
    <definedName name="_xlnm.Print_Area" localSheetId="0">Sheet1!$A$1:$F$312</definedName>
    <definedName name="_xlnm.Print_Titles" localSheetId="0">Sheet1!$1:$1</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6" i="1" l="1"/>
  <c r="F364" i="1" l="1"/>
  <c r="F363" i="1"/>
  <c r="F362" i="1"/>
  <c r="F361" i="1"/>
  <c r="F360" i="1"/>
  <c r="F359" i="1"/>
  <c r="F358" i="1"/>
  <c r="F357" i="1"/>
  <c r="F356" i="1"/>
  <c r="F355" i="1"/>
  <c r="F354" i="1"/>
  <c r="F345" i="1"/>
  <c r="F338" i="1"/>
  <c r="F170" i="1"/>
  <c r="F169" i="1"/>
  <c r="F168" i="1"/>
  <c r="F167" i="1"/>
  <c r="F166" i="1"/>
  <c r="F165" i="1"/>
  <c r="F72" i="1"/>
  <c r="F62" i="1"/>
  <c r="F333" i="1"/>
  <c r="F317" i="1"/>
  <c r="C33" i="1"/>
  <c r="F45" i="1"/>
  <c r="F46" i="1"/>
  <c r="F47" i="1"/>
  <c r="F48" i="1"/>
  <c r="F49" i="1"/>
  <c r="F50" i="1"/>
  <c r="F43" i="1"/>
  <c r="F44" i="1"/>
  <c r="F26" i="1"/>
  <c r="F27" i="1"/>
  <c r="F28" i="1"/>
  <c r="F29" i="1"/>
  <c r="F30" i="1"/>
  <c r="F31" i="1"/>
  <c r="F32" i="1"/>
  <c r="F33" i="1"/>
  <c r="F34" i="1"/>
  <c r="F35" i="1"/>
  <c r="F36" i="1"/>
  <c r="F37" i="1"/>
  <c r="F38" i="1"/>
  <c r="F39" i="1"/>
  <c r="F5" i="1"/>
  <c r="F7" i="1"/>
  <c r="F8" i="1"/>
  <c r="F9" i="1"/>
  <c r="F10" i="1"/>
  <c r="F12" i="1"/>
  <c r="F13" i="1"/>
  <c r="F14" i="1"/>
  <c r="F15" i="1"/>
  <c r="F17" i="1"/>
  <c r="F18" i="1"/>
  <c r="F19" i="1"/>
  <c r="F20" i="1"/>
  <c r="F3" i="1"/>
  <c r="F4" i="1"/>
  <c r="F6" i="1"/>
  <c r="F11" i="1"/>
  <c r="F16" i="1"/>
  <c r="F21" i="1"/>
  <c r="F61" i="1"/>
  <c r="F293" i="1"/>
  <c r="F292" i="1"/>
  <c r="F272" i="1"/>
  <c r="F275" i="1"/>
  <c r="F276" i="1"/>
  <c r="F277" i="1"/>
  <c r="F278" i="1"/>
  <c r="F279" i="1"/>
  <c r="F280" i="1"/>
  <c r="F281" i="1"/>
  <c r="F282" i="1"/>
  <c r="F283" i="1"/>
  <c r="F284" i="1"/>
  <c r="F285" i="1"/>
  <c r="F286" i="1"/>
  <c r="F287" i="1"/>
  <c r="F288" i="1"/>
  <c r="F289" i="1"/>
  <c r="F290" i="1"/>
  <c r="F291" i="1"/>
  <c r="F294" i="1"/>
  <c r="F295" i="1"/>
  <c r="F296" i="1"/>
  <c r="F297" i="1"/>
  <c r="F298" i="1"/>
  <c r="F299" i="1"/>
  <c r="F300" i="1"/>
  <c r="F301" i="1"/>
  <c r="F302" i="1"/>
  <c r="F303" i="1"/>
  <c r="F304" i="1"/>
  <c r="F305" i="1"/>
  <c r="F306" i="1"/>
  <c r="F307" i="1"/>
  <c r="F308" i="1"/>
  <c r="F309" i="1"/>
  <c r="F310" i="1"/>
  <c r="F311" i="1"/>
  <c r="F312" i="1"/>
  <c r="F313" i="1"/>
  <c r="F53" i="1"/>
  <c r="F54" i="1"/>
  <c r="F55" i="1"/>
  <c r="F56" i="1"/>
  <c r="F57" i="1"/>
  <c r="F58" i="1"/>
  <c r="F59" i="1"/>
  <c r="F60" i="1"/>
  <c r="F66" i="1"/>
  <c r="F67" i="1"/>
  <c r="F68" i="1"/>
  <c r="F69" i="1"/>
  <c r="F70" i="1"/>
  <c r="F71" i="1"/>
  <c r="F73" i="1"/>
  <c r="F74" i="1"/>
  <c r="F75" i="1"/>
  <c r="F79" i="1"/>
  <c r="F80" i="1"/>
  <c r="F81" i="1"/>
  <c r="F82" i="1"/>
  <c r="F83" i="1"/>
  <c r="F84" i="1"/>
  <c r="F85" i="1"/>
  <c r="F86"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1" i="1"/>
  <c r="F125" i="1"/>
  <c r="F126" i="1"/>
  <c r="F127" i="1"/>
  <c r="F128" i="1"/>
  <c r="F129" i="1"/>
  <c r="F130" i="1"/>
  <c r="F131" i="1"/>
  <c r="F135" i="1"/>
  <c r="F136" i="1"/>
  <c r="F137" i="1"/>
  <c r="F138" i="1"/>
  <c r="F139" i="1"/>
  <c r="F140" i="1"/>
  <c r="F141" i="1"/>
  <c r="F142" i="1"/>
  <c r="F143" i="1"/>
  <c r="F147" i="1"/>
  <c r="F148" i="1"/>
  <c r="F149" i="1"/>
  <c r="F150" i="1"/>
  <c r="F151" i="1"/>
  <c r="F152" i="1"/>
  <c r="F153" i="1"/>
  <c r="F154" i="1"/>
  <c r="F155" i="1"/>
  <c r="F157" i="1"/>
  <c r="F162" i="1"/>
  <c r="F163" i="1"/>
  <c r="F164" i="1"/>
  <c r="F182" i="1"/>
  <c r="F183" i="1"/>
  <c r="F184" i="1"/>
  <c r="F185" i="1"/>
  <c r="F186" i="1"/>
  <c r="F187" i="1"/>
  <c r="F191" i="1"/>
  <c r="F194" i="1"/>
  <c r="F195" i="1"/>
  <c r="F196" i="1"/>
  <c r="F197" i="1"/>
  <c r="F198" i="1"/>
  <c r="F199" i="1"/>
  <c r="F200" i="1"/>
  <c r="F201" i="1"/>
  <c r="F202" i="1"/>
  <c r="F203" i="1"/>
  <c r="F204" i="1"/>
  <c r="F205" i="1"/>
  <c r="F206" i="1"/>
  <c r="F210" i="1"/>
  <c r="F211" i="1"/>
  <c r="F212" i="1"/>
  <c r="F213" i="1"/>
  <c r="F214" i="1"/>
  <c r="F215" i="1"/>
  <c r="F217" i="1"/>
  <c r="F221" i="1"/>
  <c r="F222" i="1"/>
  <c r="F223" i="1"/>
  <c r="F224" i="1"/>
  <c r="F226" i="1"/>
  <c r="F227" i="1"/>
  <c r="F228" i="1"/>
  <c r="F229" i="1"/>
  <c r="F230" i="1"/>
  <c r="F231" i="1"/>
  <c r="F232" i="1"/>
  <c r="F233" i="1"/>
  <c r="F234" i="1"/>
  <c r="F235" i="1"/>
  <c r="F236" i="1"/>
  <c r="F237" i="1"/>
  <c r="F238" i="1"/>
  <c r="F239" i="1"/>
  <c r="F240" i="1"/>
  <c r="F241" i="1"/>
  <c r="F242" i="1"/>
  <c r="F243" i="1"/>
  <c r="F244" i="1"/>
  <c r="F245" i="1"/>
  <c r="F246" i="1"/>
  <c r="F248" i="1"/>
  <c r="F249" i="1"/>
  <c r="F250" i="1"/>
  <c r="F251" i="1"/>
  <c r="F252" i="1"/>
  <c r="F253" i="1"/>
  <c r="F254" i="1"/>
  <c r="F255" i="1"/>
  <c r="F256" i="1"/>
  <c r="F257" i="1"/>
  <c r="F258" i="1"/>
  <c r="F259" i="1"/>
  <c r="F260" i="1"/>
  <c r="F261" i="1"/>
  <c r="F262" i="1"/>
  <c r="F263" i="1"/>
  <c r="F264" i="1"/>
  <c r="F265" i="1"/>
  <c r="F266" i="1"/>
  <c r="F318" i="1"/>
  <c r="F319" i="1"/>
  <c r="F320" i="1"/>
  <c r="F321" i="1"/>
  <c r="F322" i="1"/>
  <c r="F323" i="1"/>
  <c r="F324" i="1"/>
  <c r="F325" i="1"/>
  <c r="F326" i="1"/>
  <c r="F327" i="1"/>
  <c r="F328" i="1"/>
  <c r="F329" i="1"/>
  <c r="F330" i="1"/>
  <c r="F331" i="1"/>
  <c r="F332" i="1"/>
  <c r="F334" i="1"/>
  <c r="F339" i="1"/>
  <c r="F340" i="1"/>
  <c r="F341" i="1"/>
  <c r="F342" i="1"/>
  <c r="F343" i="1"/>
  <c r="F344" i="1"/>
  <c r="F346" i="1"/>
  <c r="F350" i="1"/>
  <c r="F351" i="1" s="1"/>
  <c r="F394" i="1" s="1"/>
  <c r="F271" i="1"/>
  <c r="F190" i="1"/>
  <c r="F179" i="1"/>
  <c r="F370" i="1" l="1"/>
  <c r="F395" i="1" s="1"/>
  <c r="F144" i="1"/>
  <c r="F381" i="1" s="1"/>
  <c r="F132" i="1"/>
  <c r="F380" i="1" s="1"/>
  <c r="F122" i="1"/>
  <c r="F379" i="1" s="1"/>
  <c r="F171" i="1"/>
  <c r="F384" i="1" s="1"/>
  <c r="F76" i="1"/>
  <c r="F377" i="1" s="1"/>
  <c r="F158" i="1"/>
  <c r="F383" i="1" s="1"/>
  <c r="F335" i="1"/>
  <c r="F392" i="1" s="1"/>
  <c r="F207" i="1"/>
  <c r="F388" i="1" s="1"/>
  <c r="F188" i="1"/>
  <c r="F387" i="1" s="1"/>
  <c r="F347" i="1"/>
  <c r="F393" i="1" s="1"/>
  <c r="F87" i="1"/>
  <c r="F378" i="1" s="1"/>
  <c r="F314" i="1"/>
  <c r="F391" i="1" s="1"/>
  <c r="F267" i="1"/>
  <c r="F390" i="1" s="1"/>
  <c r="F376" i="1"/>
  <c r="F51" i="1"/>
  <c r="F375" i="1" s="1"/>
  <c r="F40" i="1"/>
  <c r="F374" i="1" s="1"/>
  <c r="F23" i="1"/>
  <c r="F373" i="1" s="1"/>
  <c r="F396" i="1" l="1"/>
</calcChain>
</file>

<file path=xl/sharedStrings.xml><?xml version="1.0" encoding="utf-8"?>
<sst xmlns="http://schemas.openxmlformats.org/spreadsheetml/2006/main" count="727" uniqueCount="416">
  <si>
    <t>ITEM</t>
  </si>
  <si>
    <t>DESCRIPTION</t>
  </si>
  <si>
    <t>QTY</t>
  </si>
  <si>
    <t>UNIT</t>
  </si>
  <si>
    <t>UNIT RATE</t>
  </si>
  <si>
    <t>AMOUNT AED</t>
  </si>
  <si>
    <t>PRELIMINARIES</t>
  </si>
  <si>
    <t>Item</t>
  </si>
  <si>
    <t>1</t>
  </si>
  <si>
    <t xml:space="preserve">Item </t>
  </si>
  <si>
    <t>Site mobilization, Scaffolding and De-mobilization</t>
  </si>
  <si>
    <t>Temporary electrical power, lighting and water supply during fit out works</t>
  </si>
  <si>
    <t>Provision for safety precautions at site, emergency medical kit and fire extinguishers</t>
  </si>
  <si>
    <t>Preparation and submission of material sample board for Client approval</t>
  </si>
  <si>
    <t xml:space="preserve">Protection of floor and wall finishes during the fit-out works at mall common areas </t>
  </si>
  <si>
    <t>Removal of site debris to approved municipality dump yard during the fit-out works</t>
  </si>
  <si>
    <t>Provide Mall required documents:
A. Method Statements. B. Risk Assessment
C. HSE Plan
D. Closeout documents</t>
  </si>
  <si>
    <t>Sub Total - Preliminaries</t>
  </si>
  <si>
    <t>WALL LINING &amp; PARTITIONS</t>
  </si>
  <si>
    <t>2.01</t>
  </si>
  <si>
    <t>SQ.M.</t>
  </si>
  <si>
    <t>LM</t>
  </si>
  <si>
    <t>Sub Total - Wall lining &amp; Partitions</t>
  </si>
  <si>
    <t>WALL FINISHES</t>
  </si>
  <si>
    <t>3.01</t>
  </si>
  <si>
    <t>Nos</t>
  </si>
  <si>
    <t>Sub Total - Wall Finishes</t>
  </si>
  <si>
    <t>FLOOR FINISHES</t>
  </si>
  <si>
    <t>Sub Total - Floor Finishes</t>
  </si>
  <si>
    <t>CEILING WORKS</t>
  </si>
  <si>
    <t>Sub Total - Ceiling works</t>
  </si>
  <si>
    <t>SHOP FRONT WORKS</t>
  </si>
  <si>
    <t>Sub Total - Shop front works</t>
  </si>
  <si>
    <t>JOINERY WORKS</t>
  </si>
  <si>
    <t xml:space="preserve">Supply fire rated certificate for treated joinery items </t>
  </si>
  <si>
    <t>Sub Total - Joinery works</t>
  </si>
  <si>
    <t xml:space="preserve">Sub Total - Aluminum &amp; Glass works </t>
  </si>
  <si>
    <t>DOORS:</t>
  </si>
  <si>
    <t>Sub- Total - Doors</t>
  </si>
  <si>
    <t>LIGHTING:</t>
  </si>
  <si>
    <t>Sub- Total Lighting</t>
  </si>
  <si>
    <t xml:space="preserve">Sub Total - Sanitary </t>
  </si>
  <si>
    <t>NOS</t>
  </si>
  <si>
    <t>sqm</t>
  </si>
  <si>
    <t>SANITARY: (KITCHEN SANITARY NOT INCLUDED)</t>
  </si>
  <si>
    <t>nos</t>
  </si>
  <si>
    <t>Sub Total - Signage</t>
  </si>
  <si>
    <t>ELECTRICAL WORKS</t>
  </si>
  <si>
    <t>Supply and installation of MDF inserts for wall brackets (Television, Signage &amp; Fire Extinguisher)</t>
  </si>
  <si>
    <t xml:space="preserve">Co-ordination &amp; submission of all needed  Electrical drawings for obtaining approval from Mall including co-ordination for final inspection and completion certificate.
</t>
  </si>
  <si>
    <t>Site Supervision, co-ordination with Landlord and Client appointed Suppliers (Kitchen Supplier, signage Branding, Funlandia …ect), Site management, Site report &amp; documentation</t>
  </si>
  <si>
    <t>LS</t>
  </si>
  <si>
    <t>DECORATIVE STEEL, ALUMINUM &amp; GLASS WORKS:</t>
  </si>
  <si>
    <t xml:space="preserve">Supply &amp; install Mixer sensor (Electric operated)  for back bar sink - Made: Grohe </t>
  </si>
  <si>
    <t xml:space="preserve">Appointment of Consultant approved by Municipality to submit &amp; obtain permits &amp; approvals after inspection   </t>
  </si>
  <si>
    <t>Appointment for deep cleaning of the site by third party upon handover of the site</t>
  </si>
  <si>
    <t xml:space="preserve">Appoint light consultant for Lux calculations </t>
  </si>
  <si>
    <t xml:space="preserve">Sub Total - Structural works steel works </t>
  </si>
  <si>
    <t xml:space="preserve">Sub Total - Play area steel works </t>
  </si>
  <si>
    <t xml:space="preserve">by client </t>
  </si>
  <si>
    <r>
      <rPr>
        <b/>
        <sz val="11"/>
        <color rgb="FF000000"/>
        <rFont val="Aptos Narrow"/>
        <family val="2"/>
        <scheme val="minor"/>
      </rPr>
      <t>[L-02]</t>
    </r>
    <r>
      <rPr>
        <sz val="11"/>
        <color rgb="FF000000"/>
        <rFont val="Aptos Narrow"/>
        <family val="2"/>
        <scheme val="minor"/>
      </rPr>
      <t xml:space="preserve"> Pendant industrial light at seating area (Type 2) - 3500k @200w</t>
    </r>
  </si>
  <si>
    <r>
      <rPr>
        <b/>
        <sz val="11"/>
        <color rgb="FF000000"/>
        <rFont val="Aptos Narrow"/>
        <family val="2"/>
        <scheme val="minor"/>
      </rPr>
      <t xml:space="preserve">[L-04] </t>
    </r>
    <r>
      <rPr>
        <sz val="11"/>
        <color rgb="FF000000"/>
        <rFont val="Aptos Narrow"/>
        <family val="2"/>
        <scheme val="minor"/>
      </rPr>
      <t>Supply &amp; install downlights - 3500k @ 25-50w</t>
    </r>
  </si>
  <si>
    <t xml:space="preserve">SIGNAGE WORKS </t>
  </si>
  <si>
    <t>Play Area  Works:</t>
  </si>
  <si>
    <t>Supply and installation of blackpowder coated steel wall brackets for television</t>
  </si>
  <si>
    <t>[SK02] Supply &amp; install Rubber &amp; Aluminum steel stair nose to hold grass on each step of staircase and avoid slipping</t>
  </si>
  <si>
    <t>[SK03] Supply &amp; install 70mm Ceramic tile skirting</t>
  </si>
  <si>
    <t>[SK01] Supply &amp; install stainless steel transition strip including accessories needed for installation</t>
  </si>
  <si>
    <t>[C-04] Supply and apply of Light Grey Fenomastic paint on cove lighting 
Location: Party rooms</t>
  </si>
  <si>
    <t>[C-05] Supply &amp; install 600x600x6MM Thick aluminum white ceiling tiles
Location: Kitchen</t>
  </si>
  <si>
    <r>
      <rPr>
        <b/>
        <sz val="11"/>
        <color rgb="FF000000"/>
        <rFont val="Aptos Narrow"/>
        <family val="2"/>
        <scheme val="minor"/>
      </rPr>
      <t>[J-01]</t>
    </r>
    <r>
      <rPr>
        <sz val="11"/>
        <color rgb="FF000000"/>
        <rFont val="Aptos Narrow"/>
        <family val="2"/>
        <scheme val="minor"/>
      </rPr>
      <t xml:space="preserve">Supply &amp; installation of </t>
    </r>
    <r>
      <rPr>
        <b/>
        <sz val="11"/>
        <color rgb="FF000000"/>
        <rFont val="Aptos Narrow"/>
        <family val="2"/>
        <scheme val="minor"/>
      </rPr>
      <t xml:space="preserve">Reception Table </t>
    </r>
    <r>
      <rPr>
        <sz val="11"/>
        <color rgb="FF000000"/>
        <rFont val="Aptos Narrow"/>
        <family val="2"/>
        <scheme val="minor"/>
      </rPr>
      <t>in fire rated mdf oak veneer finish w/ black absolute marble counter top including accessories including bolts, hinges, etc.., to fasten on wall, floor or ceiling
Size: 6811x750x920mm
Location: Reception</t>
    </r>
  </si>
  <si>
    <r>
      <rPr>
        <b/>
        <sz val="11"/>
        <color rgb="FF000000"/>
        <rFont val="Aptos Narrow"/>
        <family val="2"/>
        <scheme val="minor"/>
      </rPr>
      <t>[J-02]</t>
    </r>
    <r>
      <rPr>
        <sz val="11"/>
        <color rgb="FF000000"/>
        <rFont val="Aptos Narrow"/>
        <family val="2"/>
        <scheme val="minor"/>
      </rPr>
      <t xml:space="preserve">Supply &amp; installation of </t>
    </r>
    <r>
      <rPr>
        <b/>
        <sz val="11"/>
        <color rgb="FF000000"/>
        <rFont val="Aptos Narrow"/>
        <family val="2"/>
        <scheme val="minor"/>
      </rPr>
      <t xml:space="preserve">Café Bar </t>
    </r>
    <r>
      <rPr>
        <sz val="11"/>
        <color rgb="FF000000"/>
        <rFont val="Aptos Narrow"/>
        <family val="2"/>
        <scheme val="minor"/>
      </rPr>
      <t>in fire rated mdf oak veneer finish w/ black absolute marble counter top including accessories including bolts, hinges, etc.., to fasten on wall, floor or ceiling
Size: 10333x800x920mm
Location: Cafe</t>
    </r>
  </si>
  <si>
    <r>
      <rPr>
        <b/>
        <sz val="11"/>
        <color rgb="FF000000"/>
        <rFont val="Aptos Narrow"/>
        <family val="2"/>
        <scheme val="minor"/>
      </rPr>
      <t>[J-03]</t>
    </r>
    <r>
      <rPr>
        <sz val="11"/>
        <color rgb="FF000000"/>
        <rFont val="Aptos Narrow"/>
        <family val="2"/>
        <scheme val="minor"/>
      </rPr>
      <t xml:space="preserve">Supply &amp; installation of </t>
    </r>
    <r>
      <rPr>
        <b/>
        <sz val="11"/>
        <color rgb="FF000000"/>
        <rFont val="Aptos Narrow"/>
        <family val="2"/>
        <scheme val="minor"/>
      </rPr>
      <t xml:space="preserve">Back Bar </t>
    </r>
    <r>
      <rPr>
        <sz val="11"/>
        <color rgb="FF000000"/>
        <rFont val="Aptos Narrow"/>
        <family val="2"/>
        <scheme val="minor"/>
      </rPr>
      <t>in fire rated mdf oak veneer finish w/ black absolute marble counter top including accessories including bolts, hinges, etc.., to fasten on wall, floor or ceiling
Size: 5500x800x920mm
Location: Cafe</t>
    </r>
  </si>
  <si>
    <r>
      <rPr>
        <b/>
        <sz val="11"/>
        <color rgb="FF000000"/>
        <rFont val="Aptos Narrow"/>
        <family val="2"/>
        <scheme val="minor"/>
      </rPr>
      <t>[J-04]</t>
    </r>
    <r>
      <rPr>
        <sz val="11"/>
        <color rgb="FF000000"/>
        <rFont val="Aptos Narrow"/>
        <family val="2"/>
        <scheme val="minor"/>
      </rPr>
      <t xml:space="preserve">Supply &amp; installation of </t>
    </r>
    <r>
      <rPr>
        <b/>
        <sz val="11"/>
        <color rgb="FF000000"/>
        <rFont val="Aptos Narrow"/>
        <family val="2"/>
        <scheme val="minor"/>
      </rPr>
      <t xml:space="preserve">Stroller bay </t>
    </r>
    <r>
      <rPr>
        <sz val="11"/>
        <color rgb="FF000000"/>
        <rFont val="Aptos Narrow"/>
        <family val="2"/>
        <scheme val="minor"/>
      </rPr>
      <t>in black powdercoated steel frame with 25x25 mesh including accessories including bolts, hinges, etc.., to fasten on wall, floor or ceiling
Size: 8200x800x2404mm
Location: General Area</t>
    </r>
  </si>
  <si>
    <r>
      <rPr>
        <b/>
        <sz val="11"/>
        <color rgb="FF000000"/>
        <rFont val="Aptos Narrow"/>
        <family val="2"/>
        <scheme val="minor"/>
      </rPr>
      <t>[J-05]</t>
    </r>
    <r>
      <rPr>
        <sz val="11"/>
        <color rgb="FF000000"/>
        <rFont val="Aptos Narrow"/>
        <family val="2"/>
        <scheme val="minor"/>
      </rPr>
      <t xml:space="preserve">Supply &amp; installation of </t>
    </r>
    <r>
      <rPr>
        <b/>
        <sz val="11"/>
        <color rgb="FF000000"/>
        <rFont val="Aptos Narrow"/>
        <family val="2"/>
        <scheme val="minor"/>
      </rPr>
      <t xml:space="preserve">Shoerack </t>
    </r>
    <r>
      <rPr>
        <sz val="11"/>
        <color rgb="FF000000"/>
        <rFont val="Aptos Narrow"/>
        <family val="2"/>
        <scheme val="minor"/>
      </rPr>
      <t>in fire rated mdf oak veneer finish including accessories including bolts, hinges, etc.., to fasten on wall, floor or ceiling
Size: 3784x400x2000
Location: General Area</t>
    </r>
  </si>
  <si>
    <r>
      <rPr>
        <b/>
        <sz val="11"/>
        <color rgb="FF000000"/>
        <rFont val="Aptos Narrow"/>
        <family val="2"/>
        <scheme val="minor"/>
      </rPr>
      <t>[J-06A]</t>
    </r>
    <r>
      <rPr>
        <sz val="11"/>
        <color rgb="FF000000"/>
        <rFont val="Aptos Narrow"/>
        <family val="2"/>
        <scheme val="minor"/>
      </rPr>
      <t xml:space="preserve">Supply &amp; installation of </t>
    </r>
    <r>
      <rPr>
        <b/>
        <sz val="11"/>
        <color rgb="FF000000"/>
        <rFont val="Aptos Narrow"/>
        <family val="2"/>
        <scheme val="minor"/>
      </rPr>
      <t xml:space="preserve">Shoerack bench 1 </t>
    </r>
    <r>
      <rPr>
        <sz val="11"/>
        <color rgb="FF000000"/>
        <rFont val="Aptos Narrow"/>
        <family val="2"/>
        <scheme val="minor"/>
      </rPr>
      <t>in fire rated white industrial ply including accessories including bolts, hinges, etc.., to fasten on wall, floor or ceiling
Size: 3247x500x800
Location: General Area</t>
    </r>
  </si>
  <si>
    <r>
      <rPr>
        <b/>
        <sz val="11"/>
        <color rgb="FF000000"/>
        <rFont val="Aptos Narrow"/>
        <family val="2"/>
        <scheme val="minor"/>
      </rPr>
      <t>[J-06B]</t>
    </r>
    <r>
      <rPr>
        <sz val="11"/>
        <color rgb="FF000000"/>
        <rFont val="Aptos Narrow"/>
        <family val="2"/>
        <scheme val="minor"/>
      </rPr>
      <t xml:space="preserve">Supply &amp; installation of </t>
    </r>
    <r>
      <rPr>
        <b/>
        <sz val="11"/>
        <color rgb="FF000000"/>
        <rFont val="Aptos Narrow"/>
        <family val="2"/>
        <scheme val="minor"/>
      </rPr>
      <t xml:space="preserve">Shoerack bench 2 </t>
    </r>
    <r>
      <rPr>
        <sz val="11"/>
        <color rgb="FF000000"/>
        <rFont val="Aptos Narrow"/>
        <family val="2"/>
        <scheme val="minor"/>
      </rPr>
      <t>in fire rated white industrial ply including accessories including bolts, hinges, etc.., to fasten on wall, floor or ceiling
Size: 5362x500x800
Location: General Area</t>
    </r>
  </si>
  <si>
    <r>
      <rPr>
        <b/>
        <sz val="11"/>
        <color rgb="FF000000"/>
        <rFont val="Aptos Narrow"/>
        <family val="2"/>
        <scheme val="minor"/>
      </rPr>
      <t>[J-07]</t>
    </r>
    <r>
      <rPr>
        <sz val="11"/>
        <color rgb="FF000000"/>
        <rFont val="Aptos Narrow"/>
        <family val="2"/>
        <scheme val="minor"/>
      </rPr>
      <t xml:space="preserve">Supply &amp; installation of </t>
    </r>
    <r>
      <rPr>
        <b/>
        <sz val="11"/>
        <color rgb="FF000000"/>
        <rFont val="Aptos Narrow"/>
        <family val="2"/>
        <scheme val="minor"/>
      </rPr>
      <t xml:space="preserve">Center Planter Box </t>
    </r>
    <r>
      <rPr>
        <sz val="11"/>
        <color rgb="FF000000"/>
        <rFont val="Aptos Narrow"/>
        <family val="2"/>
        <scheme val="minor"/>
      </rPr>
      <t>in fire rated mdf cement finish with oakwood cladding including accessories including bolts, hinges, etc.., to fasten on wall, floor or ceiling
Size: Approx. 2700x2700x800
Location: General Area</t>
    </r>
  </si>
  <si>
    <r>
      <rPr>
        <b/>
        <sz val="11"/>
        <color rgb="FF000000"/>
        <rFont val="Aptos Narrow"/>
        <family val="2"/>
        <scheme val="minor"/>
      </rPr>
      <t>[J-08]</t>
    </r>
    <r>
      <rPr>
        <sz val="11"/>
        <color rgb="FF000000"/>
        <rFont val="Aptos Narrow"/>
        <family val="2"/>
        <scheme val="minor"/>
      </rPr>
      <t xml:space="preserve">Supply &amp; installation of </t>
    </r>
    <r>
      <rPr>
        <b/>
        <sz val="11"/>
        <color rgb="FF000000"/>
        <rFont val="Aptos Narrow"/>
        <family val="2"/>
        <scheme val="minor"/>
      </rPr>
      <t xml:space="preserve">Party Bay 1 </t>
    </r>
    <r>
      <rPr>
        <sz val="11"/>
        <color rgb="FF000000"/>
        <rFont val="Aptos Narrow"/>
        <family val="2"/>
        <scheme val="minor"/>
      </rPr>
      <t>in fire rated white industrial ply including accessories including bolts, hinges, etc.., to fasten on wall, floor or ceiling
Size: 11172x500x800
Location: General Area</t>
    </r>
  </si>
  <si>
    <r>
      <rPr>
        <b/>
        <sz val="11"/>
        <color rgb="FF000000"/>
        <rFont val="Aptos Narrow"/>
        <family val="2"/>
        <scheme val="minor"/>
      </rPr>
      <t>[J-09]</t>
    </r>
    <r>
      <rPr>
        <sz val="11"/>
        <color rgb="FF000000"/>
        <rFont val="Aptos Narrow"/>
        <family val="2"/>
        <scheme val="minor"/>
      </rPr>
      <t xml:space="preserve">Supply &amp; installation of </t>
    </r>
    <r>
      <rPr>
        <b/>
        <sz val="11"/>
        <color rgb="FF000000"/>
        <rFont val="Aptos Narrow"/>
        <family val="2"/>
        <scheme val="minor"/>
      </rPr>
      <t xml:space="preserve">Party Bay 2 </t>
    </r>
    <r>
      <rPr>
        <sz val="11"/>
        <color rgb="FF000000"/>
        <rFont val="Aptos Narrow"/>
        <family val="2"/>
        <scheme val="minor"/>
      </rPr>
      <t>in fire rated white industrial ply including accessories including bolts, hinges, etc.., to fasten on wall, floor or ceiling
Size: 10083x500x800
Location: General Area</t>
    </r>
  </si>
  <si>
    <r>
      <rPr>
        <b/>
        <sz val="11"/>
        <color rgb="FF000000"/>
        <rFont val="Aptos Narrow"/>
        <family val="2"/>
        <scheme val="minor"/>
      </rPr>
      <t>[J-10]</t>
    </r>
    <r>
      <rPr>
        <sz val="11"/>
        <color rgb="FF000000"/>
        <rFont val="Aptos Narrow"/>
        <family val="2"/>
        <scheme val="minor"/>
      </rPr>
      <t xml:space="preserve">Supply &amp; installation of </t>
    </r>
    <r>
      <rPr>
        <b/>
        <sz val="11"/>
        <color rgb="FF000000"/>
        <rFont val="Aptos Narrow"/>
        <family val="2"/>
        <scheme val="minor"/>
      </rPr>
      <t xml:space="preserve">Seating Booth 01 </t>
    </r>
    <r>
      <rPr>
        <sz val="11"/>
        <color rgb="FF000000"/>
        <rFont val="Aptos Narrow"/>
        <family val="2"/>
        <scheme val="minor"/>
      </rPr>
      <t>in fire rated mdf oak veneer finish w/ black powdercoated steel frame with 25x25 mesh including accessories including bolts, hinges, etc.., to fasten on wall, floor or ceiling
Size:
5500x500x860 - 1 Booth
1500x400x20 - 13PCS Hanging Mesh + steel rods
Location: General Area</t>
    </r>
  </si>
  <si>
    <r>
      <rPr>
        <b/>
        <sz val="11"/>
        <color rgb="FF000000"/>
        <rFont val="Aptos Narrow"/>
        <family val="2"/>
        <scheme val="minor"/>
      </rPr>
      <t>[J-11]</t>
    </r>
    <r>
      <rPr>
        <sz val="11"/>
        <color rgb="FF000000"/>
        <rFont val="Aptos Narrow"/>
        <family val="2"/>
        <scheme val="minor"/>
      </rPr>
      <t xml:space="preserve">Supply &amp; installation of </t>
    </r>
    <r>
      <rPr>
        <b/>
        <sz val="11"/>
        <color rgb="FF000000"/>
        <rFont val="Aptos Narrow"/>
        <family val="2"/>
        <scheme val="minor"/>
      </rPr>
      <t>Seating Booth 02</t>
    </r>
    <r>
      <rPr>
        <sz val="11"/>
        <color rgb="FF000000"/>
        <rFont val="Aptos Narrow"/>
        <family val="2"/>
        <scheme val="minor"/>
      </rPr>
      <t xml:space="preserve"> in fire rated mdf oak veneer finish w/ black powdercoated steel frame with 25x25 mesh including accessories including bolts, hinges, etc.., to fasten on wall, floor or ceiling
Size:
3500x500x860 - 1 Booth
1500x400x20 - 8PCS Hanging Mesh + steel rods
Location: General Area</t>
    </r>
  </si>
  <si>
    <r>
      <rPr>
        <b/>
        <sz val="11"/>
        <color rgb="FF000000"/>
        <rFont val="Aptos Narrow"/>
        <family val="2"/>
        <scheme val="minor"/>
      </rPr>
      <t>[J-12]</t>
    </r>
    <r>
      <rPr>
        <sz val="11"/>
        <color rgb="FF000000"/>
        <rFont val="Aptos Narrow"/>
        <family val="2"/>
        <scheme val="minor"/>
      </rPr>
      <t xml:space="preserve">Supply &amp; installation of </t>
    </r>
    <r>
      <rPr>
        <b/>
        <sz val="11"/>
        <color rgb="FF000000"/>
        <rFont val="Aptos Narrow"/>
        <family val="2"/>
        <scheme val="minor"/>
      </rPr>
      <t xml:space="preserve">Party Room Table </t>
    </r>
    <r>
      <rPr>
        <sz val="11"/>
        <color rgb="FF000000"/>
        <rFont val="Aptos Narrow"/>
        <family val="2"/>
        <scheme val="minor"/>
      </rPr>
      <t>in fire rated mdf oak veneer finish w/ black steel leg support including accessories including bolts, hinges, etc..,
Size: 1800x1000x750
Location: Party Rooms</t>
    </r>
  </si>
  <si>
    <r>
      <rPr>
        <b/>
        <sz val="11"/>
        <color rgb="FF000000"/>
        <rFont val="Aptos Narrow"/>
        <family val="2"/>
        <scheme val="minor"/>
      </rPr>
      <t>[J-13]</t>
    </r>
    <r>
      <rPr>
        <sz val="11"/>
        <color rgb="FF000000"/>
        <rFont val="Aptos Narrow"/>
        <family val="2"/>
        <scheme val="minor"/>
      </rPr>
      <t xml:space="preserve">Supply &amp; installation of </t>
    </r>
    <r>
      <rPr>
        <b/>
        <sz val="11"/>
        <color rgb="FF000000"/>
        <rFont val="Aptos Narrow"/>
        <family val="2"/>
        <scheme val="minor"/>
      </rPr>
      <t xml:space="preserve">Waiters Station </t>
    </r>
    <r>
      <rPr>
        <sz val="11"/>
        <color rgb="FF000000"/>
        <rFont val="Aptos Narrow"/>
        <family val="2"/>
        <scheme val="minor"/>
      </rPr>
      <t>in fire rated mdf oak veneer finish w/ Black Corian Top including accessories including bolts, hinges, etc..,
Size: 700x500x1000
Location: Party Rooms</t>
    </r>
  </si>
  <si>
    <r>
      <rPr>
        <b/>
        <sz val="11"/>
        <color rgb="FF000000"/>
        <rFont val="Aptos Narrow"/>
        <family val="2"/>
        <scheme val="minor"/>
      </rPr>
      <t>[J-14A]</t>
    </r>
    <r>
      <rPr>
        <sz val="11"/>
        <color rgb="FF000000"/>
        <rFont val="Aptos Narrow"/>
        <family val="2"/>
        <scheme val="minor"/>
      </rPr>
      <t xml:space="preserve">Supply &amp; installation of </t>
    </r>
    <r>
      <rPr>
        <b/>
        <sz val="11"/>
        <color rgb="FF000000"/>
        <rFont val="Aptos Narrow"/>
        <family val="2"/>
        <scheme val="minor"/>
      </rPr>
      <t xml:space="preserve">Party Room Bench </t>
    </r>
    <r>
      <rPr>
        <sz val="11"/>
        <color rgb="FF000000"/>
        <rFont val="Aptos Narrow"/>
        <family val="2"/>
        <scheme val="minor"/>
      </rPr>
      <t>in fire rated mdf oak veneer finish including accessories including bolts, hinges, etc..,
Size: 1846x400x400
Location: Party Rooms</t>
    </r>
  </si>
  <si>
    <r>
      <rPr>
        <b/>
        <sz val="11"/>
        <color rgb="FF000000"/>
        <rFont val="Aptos Narrow"/>
        <family val="2"/>
        <scheme val="minor"/>
      </rPr>
      <t>[J-14B]</t>
    </r>
    <r>
      <rPr>
        <sz val="11"/>
        <color rgb="FF000000"/>
        <rFont val="Aptos Narrow"/>
        <family val="2"/>
        <scheme val="minor"/>
      </rPr>
      <t xml:space="preserve">Supply &amp; installation of </t>
    </r>
    <r>
      <rPr>
        <b/>
        <sz val="11"/>
        <color rgb="FF000000"/>
        <rFont val="Aptos Narrow"/>
        <family val="2"/>
        <scheme val="minor"/>
      </rPr>
      <t xml:space="preserve">Party Room Bench </t>
    </r>
    <r>
      <rPr>
        <sz val="11"/>
        <color rgb="FF000000"/>
        <rFont val="Aptos Narrow"/>
        <family val="2"/>
        <scheme val="minor"/>
      </rPr>
      <t>in fire rated mdf oak veneer finish including accessories including bolts, hinges, etc..,
Size: 2636x400x400
Location: Party Rooms</t>
    </r>
  </si>
  <si>
    <r>
      <rPr>
        <b/>
        <sz val="11"/>
        <color rgb="FF000000"/>
        <rFont val="Aptos Narrow"/>
        <family val="2"/>
        <scheme val="minor"/>
      </rPr>
      <t>[J-15]</t>
    </r>
    <r>
      <rPr>
        <sz val="11"/>
        <color rgb="FF000000"/>
        <rFont val="Aptos Narrow"/>
        <family val="2"/>
        <scheme val="minor"/>
      </rPr>
      <t xml:space="preserve">Supply &amp; installation of </t>
    </r>
    <r>
      <rPr>
        <b/>
        <sz val="11"/>
        <color rgb="FF000000"/>
        <rFont val="Aptos Narrow"/>
        <family val="2"/>
        <scheme val="minor"/>
      </rPr>
      <t xml:space="preserve">Mini Shoe Rack </t>
    </r>
    <r>
      <rPr>
        <sz val="11"/>
        <color rgb="FF000000"/>
        <rFont val="Aptos Narrow"/>
        <family val="2"/>
        <scheme val="minor"/>
      </rPr>
      <t>in fire rated mdf oak veneer finish including accessories including bolts, hinges, etc..,
Size: 1496x400x1200
Location: General Area</t>
    </r>
  </si>
  <si>
    <r>
      <rPr>
        <b/>
        <sz val="11"/>
        <color rgb="FF000000"/>
        <rFont val="Aptos Narrow"/>
        <family val="2"/>
        <scheme val="minor"/>
      </rPr>
      <t>[J-17]</t>
    </r>
    <r>
      <rPr>
        <sz val="11"/>
        <color rgb="FF000000"/>
        <rFont val="Aptos Narrow"/>
        <family val="2"/>
        <scheme val="minor"/>
      </rPr>
      <t xml:space="preserve">Supply &amp; installation of </t>
    </r>
    <r>
      <rPr>
        <b/>
        <sz val="11"/>
        <color rgb="FF000000"/>
        <rFont val="Aptos Narrow"/>
        <family val="2"/>
        <scheme val="minor"/>
      </rPr>
      <t xml:space="preserve">Planter Box 1 </t>
    </r>
    <r>
      <rPr>
        <sz val="11"/>
        <color rgb="FF000000"/>
        <rFont val="Aptos Narrow"/>
        <family val="2"/>
        <scheme val="minor"/>
      </rPr>
      <t>in fire rated mdf oak veneer finish including accessories including bolts, hinges, etc..,
Size: 300x500x900
Location: General Area</t>
    </r>
  </si>
  <si>
    <r>
      <rPr>
        <b/>
        <sz val="11"/>
        <color rgb="FF000000"/>
        <rFont val="Aptos Narrow"/>
        <family val="2"/>
        <scheme val="minor"/>
      </rPr>
      <t>[J-18]</t>
    </r>
    <r>
      <rPr>
        <sz val="11"/>
        <color rgb="FF000000"/>
        <rFont val="Aptos Narrow"/>
        <family val="2"/>
        <scheme val="minor"/>
      </rPr>
      <t xml:space="preserve">Supply &amp; installation of </t>
    </r>
    <r>
      <rPr>
        <b/>
        <sz val="11"/>
        <color rgb="FF000000"/>
        <rFont val="Aptos Narrow"/>
        <family val="2"/>
        <scheme val="minor"/>
      </rPr>
      <t xml:space="preserve">Planter Box 2 </t>
    </r>
    <r>
      <rPr>
        <sz val="11"/>
        <color rgb="FF000000"/>
        <rFont val="Aptos Narrow"/>
        <family val="2"/>
        <scheme val="minor"/>
      </rPr>
      <t>in fire rated mdf oak veneer finish including accessories including bolts, hinges, etc..,
Size: 500x572x900
Location: General Area</t>
    </r>
  </si>
  <si>
    <r>
      <rPr>
        <b/>
        <sz val="11"/>
        <color rgb="FF000000"/>
        <rFont val="Aptos Narrow"/>
        <family val="2"/>
        <scheme val="minor"/>
      </rPr>
      <t>[J-19]</t>
    </r>
    <r>
      <rPr>
        <sz val="11"/>
        <color rgb="FF000000"/>
        <rFont val="Aptos Narrow"/>
        <family val="2"/>
        <scheme val="minor"/>
      </rPr>
      <t xml:space="preserve">Supply &amp; installation of </t>
    </r>
    <r>
      <rPr>
        <b/>
        <sz val="11"/>
        <color rgb="FF000000"/>
        <rFont val="Aptos Narrow"/>
        <family val="2"/>
        <scheme val="minor"/>
      </rPr>
      <t xml:space="preserve">Planter Box 3 </t>
    </r>
    <r>
      <rPr>
        <sz val="11"/>
        <color rgb="FF000000"/>
        <rFont val="Aptos Narrow"/>
        <family val="2"/>
        <scheme val="minor"/>
      </rPr>
      <t>in fire rated mdf oak veneer finish including accessories including bolts, hinges, etc..,
Size: 500x1000x900
Location: General Area</t>
    </r>
  </si>
  <si>
    <r>
      <rPr>
        <b/>
        <sz val="11"/>
        <color rgb="FF000000"/>
        <rFont val="Aptos Narrow"/>
        <family val="2"/>
        <scheme val="minor"/>
      </rPr>
      <t>[J-21]</t>
    </r>
    <r>
      <rPr>
        <sz val="11"/>
        <color rgb="FF000000"/>
        <rFont val="Aptos Narrow"/>
        <family val="2"/>
        <scheme val="minor"/>
      </rPr>
      <t xml:space="preserve">Supply &amp; installation of </t>
    </r>
    <r>
      <rPr>
        <b/>
        <sz val="11"/>
        <color rgb="FF000000"/>
        <rFont val="Aptos Narrow"/>
        <family val="2"/>
        <scheme val="minor"/>
      </rPr>
      <t xml:space="preserve">Filing Cabinet </t>
    </r>
    <r>
      <rPr>
        <sz val="11"/>
        <color rgb="FF000000"/>
        <rFont val="Aptos Narrow"/>
        <family val="2"/>
        <scheme val="minor"/>
      </rPr>
      <t>in fire rated mdf oak veneer finish w/ black steel leg support including accessories including bolts, hinges, etc.., to fasten on wall, floor or ceiling
Size: 2757x400x1200
Location: Office</t>
    </r>
  </si>
  <si>
    <r>
      <rPr>
        <b/>
        <sz val="11"/>
        <color rgb="FF000000"/>
        <rFont val="Aptos Narrow"/>
        <family val="2"/>
        <scheme val="minor"/>
      </rPr>
      <t>[J-22]</t>
    </r>
    <r>
      <rPr>
        <sz val="11"/>
        <color rgb="FF000000"/>
        <rFont val="Aptos Narrow"/>
        <family val="2"/>
        <scheme val="minor"/>
      </rPr>
      <t xml:space="preserve">Supply &amp; installation of </t>
    </r>
    <r>
      <rPr>
        <b/>
        <sz val="11"/>
        <color rgb="FF000000"/>
        <rFont val="Aptos Narrow"/>
        <family val="2"/>
        <scheme val="minor"/>
      </rPr>
      <t xml:space="preserve">Walkie Talkie Cabinet </t>
    </r>
    <r>
      <rPr>
        <sz val="11"/>
        <color rgb="FF000000"/>
        <rFont val="Aptos Narrow"/>
        <family val="2"/>
        <scheme val="minor"/>
      </rPr>
      <t>in fire rated mdf oak veneer finish w/ black steel leg support including accessories including bolts, hinges, etc.., to fasten on wall, floor or ceiling
Size: 1792x400x1200
Location: Office</t>
    </r>
  </si>
  <si>
    <r>
      <rPr>
        <b/>
        <sz val="11"/>
        <color rgb="FF000000"/>
        <rFont val="Aptos Narrow"/>
        <family val="2"/>
        <scheme val="minor"/>
      </rPr>
      <t>[J-23]</t>
    </r>
    <r>
      <rPr>
        <sz val="11"/>
        <color rgb="FF000000"/>
        <rFont val="Aptos Narrow"/>
        <family val="2"/>
        <scheme val="minor"/>
      </rPr>
      <t xml:space="preserve">Supply &amp; installation of </t>
    </r>
    <r>
      <rPr>
        <b/>
        <sz val="11"/>
        <color rgb="FF000000"/>
        <rFont val="Aptos Narrow"/>
        <family val="2"/>
        <scheme val="minor"/>
      </rPr>
      <t xml:space="preserve">Office Table </t>
    </r>
    <r>
      <rPr>
        <sz val="11"/>
        <color rgb="FF000000"/>
        <rFont val="Aptos Narrow"/>
        <family val="2"/>
        <scheme val="minor"/>
      </rPr>
      <t>in fire rated mdf oak veneer finish w/ black steel leg support including accessories including bolts, hinges, etc.., to fasten on wall, floor or ceiling
Size: 4550x600x800
Location: Office</t>
    </r>
  </si>
  <si>
    <r>
      <rPr>
        <b/>
        <sz val="11"/>
        <color rgb="FF000000"/>
        <rFont val="Aptos Narrow"/>
        <family val="2"/>
        <scheme val="minor"/>
      </rPr>
      <t>[J-24]</t>
    </r>
    <r>
      <rPr>
        <sz val="11"/>
        <color rgb="FF000000"/>
        <rFont val="Aptos Narrow"/>
        <family val="2"/>
        <scheme val="minor"/>
      </rPr>
      <t xml:space="preserve">Supply &amp; installation of </t>
    </r>
    <r>
      <rPr>
        <b/>
        <sz val="11"/>
        <color rgb="FF000000"/>
        <rFont val="Aptos Narrow"/>
        <family val="2"/>
        <scheme val="minor"/>
      </rPr>
      <t xml:space="preserve">Circular Seating Booth </t>
    </r>
    <r>
      <rPr>
        <sz val="11"/>
        <color rgb="FF000000"/>
        <rFont val="Aptos Narrow"/>
        <family val="2"/>
        <scheme val="minor"/>
      </rPr>
      <t>in fire rated mdf oak veneer finish w/ black steel leg support including accessories including bolts, hinges, etc.., to fasten on wall, floor or ceiling
Size: 2100x600x900
Location: General Area</t>
    </r>
  </si>
  <si>
    <r>
      <rPr>
        <b/>
        <sz val="11"/>
        <color rgb="FF000000"/>
        <rFont val="Aptos Narrow"/>
        <family val="2"/>
        <scheme val="minor"/>
      </rPr>
      <t xml:space="preserve">[W-03] </t>
    </r>
    <r>
      <rPr>
        <sz val="11"/>
        <color rgb="FF000000"/>
        <rFont val="Aptos Narrow"/>
        <family val="2"/>
        <scheme val="minor"/>
      </rPr>
      <t>Supply &amp; install fixed tempered 10MM glass window with black powdercoated aluminum framing with all necessory ironmongery, accessories, &amp; frames 
Size: 1600x4000x10mm
Location: Party Rooms</t>
    </r>
  </si>
  <si>
    <r>
      <t xml:space="preserve">Supply &amp; installation of Black powdercoated </t>
    </r>
    <r>
      <rPr>
        <b/>
        <sz val="11"/>
        <color rgb="FF000000"/>
        <rFont val="Aptos Narrow"/>
        <family val="2"/>
        <scheme val="minor"/>
      </rPr>
      <t xml:space="preserve">Welcome Banner </t>
    </r>
    <r>
      <rPr>
        <sz val="11"/>
        <color rgb="FF000000"/>
        <rFont val="Aptos Narrow"/>
        <family val="2"/>
        <scheme val="minor"/>
      </rPr>
      <t>in steel support with steel frame and 50x50 wire mesh including accessories including bolts, hinges, etc.., to fasten to flooring
Size: 7023x3900x50mm
Location: General Area</t>
    </r>
  </si>
  <si>
    <r>
      <t xml:space="preserve">Supply &amp; installation of </t>
    </r>
    <r>
      <rPr>
        <b/>
        <sz val="11"/>
        <color rgb="FF000000"/>
        <rFont val="Aptos Narrow"/>
        <family val="2"/>
        <scheme val="minor"/>
      </rPr>
      <t xml:space="preserve">Queing Railing </t>
    </r>
    <r>
      <rPr>
        <sz val="11"/>
        <color rgb="FF000000"/>
        <rFont val="Aptos Narrow"/>
        <family val="2"/>
        <scheme val="minor"/>
      </rPr>
      <t xml:space="preserve"> at reception in black powdercoated steel frame including accessories including bolts, hinges, etc.., to fasten on wall, floor or ceiling
Size: 1000x900x40mm
Location: General Area</t>
    </r>
  </si>
  <si>
    <r>
      <rPr>
        <b/>
        <sz val="11"/>
        <color rgb="FF000000"/>
        <rFont val="Aptos Narrow"/>
        <family val="2"/>
        <scheme val="minor"/>
      </rPr>
      <t xml:space="preserve">[L-03] </t>
    </r>
    <r>
      <rPr>
        <sz val="11"/>
        <color rgb="FF000000"/>
        <rFont val="Aptos Narrow"/>
        <family val="2"/>
        <scheme val="minor"/>
      </rPr>
      <t>Supply &amp; install pendant light (reception &amp; cafebar) = 3500k @ 100w</t>
    </r>
  </si>
  <si>
    <r>
      <rPr>
        <b/>
        <sz val="11"/>
        <color rgb="FF000000"/>
        <rFont val="Aptos Narrow"/>
        <family val="2"/>
        <scheme val="minor"/>
      </rPr>
      <t xml:space="preserve">[L-05] </t>
    </r>
    <r>
      <rPr>
        <sz val="11"/>
        <color rgb="FF000000"/>
        <rFont val="Aptos Narrow"/>
        <family val="2"/>
        <scheme val="minor"/>
      </rPr>
      <t>Supply &amp; install Wall Industrial Light - 3500k @ 50w</t>
    </r>
  </si>
  <si>
    <r>
      <rPr>
        <b/>
        <sz val="11"/>
        <color rgb="FF000000"/>
        <rFont val="Aptos Narrow"/>
        <family val="2"/>
        <scheme val="minor"/>
      </rPr>
      <t xml:space="preserve">[L-06] </t>
    </r>
    <r>
      <rPr>
        <sz val="11"/>
        <color rgb="FF000000"/>
        <rFont val="Aptos Narrow"/>
        <family val="2"/>
        <scheme val="minor"/>
      </rPr>
      <t>Supply &amp; install 60x60 LED light at the kitchen area (Day light) @ 6000k</t>
    </r>
  </si>
  <si>
    <r>
      <rPr>
        <b/>
        <sz val="11"/>
        <color rgb="FF000000"/>
        <rFont val="Aptos Narrow"/>
        <family val="2"/>
        <scheme val="minor"/>
      </rPr>
      <t>[L-07]</t>
    </r>
    <r>
      <rPr>
        <sz val="11"/>
        <color rgb="FF000000"/>
        <rFont val="Aptos Narrow"/>
        <family val="2"/>
        <scheme val="minor"/>
      </rPr>
      <t xml:space="preserve"> Supply &amp; install Cage Light - 4000k @ 30W</t>
    </r>
  </si>
  <si>
    <r>
      <rPr>
        <b/>
        <sz val="11"/>
        <color rgb="FF000000"/>
        <rFont val="Aptos Narrow"/>
        <family val="2"/>
        <scheme val="minor"/>
      </rPr>
      <t xml:space="preserve">[L-08] </t>
    </r>
    <r>
      <rPr>
        <sz val="11"/>
        <color rgb="FF000000"/>
        <rFont val="Aptos Narrow"/>
        <family val="2"/>
        <scheme val="minor"/>
      </rPr>
      <t xml:space="preserve">Supply &amp; install </t>
    </r>
    <r>
      <rPr>
        <sz val="11"/>
        <color rgb="FFFFC000"/>
        <rFont val="Aptos Narrow"/>
        <family val="2"/>
        <scheme val="minor"/>
      </rPr>
      <t>warm white</t>
    </r>
    <r>
      <rPr>
        <sz val="11"/>
        <color rgb="FF000000"/>
        <rFont val="Aptos Narrow"/>
        <family val="2"/>
        <scheme val="minor"/>
      </rPr>
      <t xml:space="preserve"> LED concealed strip light  in ceiling décor</t>
    </r>
  </si>
  <si>
    <t>Supply &amp; install bottle trap in black finish for backbar</t>
  </si>
  <si>
    <t>Supply &amp; install automatic / sensor  soap dispenser for backbar</t>
  </si>
  <si>
    <r>
      <rPr>
        <b/>
        <sz val="11"/>
        <color rgb="FF000000"/>
        <rFont val="Aptos Narrow"/>
        <family val="2"/>
        <scheme val="minor"/>
      </rPr>
      <t xml:space="preserve">[SIGNAGE 02] </t>
    </r>
    <r>
      <rPr>
        <sz val="11"/>
        <color rgb="FF000000"/>
        <rFont val="Aptos Narrow"/>
        <family val="2"/>
        <scheme val="minor"/>
      </rPr>
      <t>Supply and installation of lighted acrylic logo at the back bar  including brackets and accessories - 
Size: 
970x950x35mm</t>
    </r>
  </si>
  <si>
    <r>
      <rPr>
        <b/>
        <sz val="11"/>
        <color rgb="FF000000"/>
        <rFont val="Aptos Narrow"/>
        <family val="2"/>
        <scheme val="minor"/>
      </rPr>
      <t xml:space="preserve">[SIGNAGE 03] </t>
    </r>
    <r>
      <rPr>
        <sz val="11"/>
        <color rgb="FF000000"/>
        <rFont val="Aptos Narrow"/>
        <family val="2"/>
        <scheme val="minor"/>
      </rPr>
      <t>Supply and installation of lighted acrylic signage for corridor going to toilet
Size:
1213x900x35mm</t>
    </r>
  </si>
  <si>
    <t>Supply &amp; install 100 x 100MM steel tube to support the sliding door at the party room (Above ceiling)</t>
  </si>
  <si>
    <t>STRUCTURAL WORKS &amp; STEEL WORKS</t>
  </si>
  <si>
    <t>Appointment of Civil defense consultant to review &amp; submit drawings (FA +FF +EM+EX ) for obtaining civil defense  approval including co-ordination for final inspection and completion certificate. (Mall approved consultant)</t>
  </si>
  <si>
    <t xml:space="preserve">All Risk Insurance, workmen compensation and third party liability during fit out works - Value 5 Million Dirhams for common areas &amp; 5Million for CAR insurance </t>
  </si>
  <si>
    <t>Preparation of Structural Drawing by an approved structural engineer for the proposed raised area based (Seating area + Play area) on the structural design  &amp;  load calculations of the existing structural drawings (Structural consultant approved by mall)</t>
  </si>
  <si>
    <t xml:space="preserve">Provision for Demolition works needed after handover of units </t>
  </si>
  <si>
    <t>SQM</t>
  </si>
  <si>
    <t xml:space="preserve">Provision for Supply and installation of fire rated gypsum cladding on existing columns with 12.5mm thick fire-rated gypsum board and GI frames every 40 cm 
</t>
  </si>
  <si>
    <t>Supply and apply 30MM thick cement plaster on block walls ready to receive paint finish or tiles</t>
  </si>
  <si>
    <t xml:space="preserve">[W-01] RAL 7046
Wall preparation including jointing tape, putty and sanding to supply and apply fenomastic paint finish on internal walls including stainless steel corners on all cladded columns and walls corners- Made: Jotun </t>
  </si>
  <si>
    <t>[W-04] Supply &amp; install 600 X 300 MM white glossy ceramic tiles at the kitchen walls including stainless steel corners Made: RAK ceramic or similar</t>
  </si>
  <si>
    <t>[W-02] RAL 7012
Wall preparation including jointing tape, putty and sanding to supply and apply fenomastic paint finish on internal walls including stainless steel corners on all cladded columns and walls corners. Made: Jotun</t>
  </si>
  <si>
    <t xml:space="preserve">Supply &amp; install L corner 40X40MM (black color) on all wall and column corners </t>
  </si>
  <si>
    <t>PCS</t>
  </si>
  <si>
    <t xml:space="preserve">Supply &amp; apply Foam Block, concrete  raised area at the wet areas (backbar &amp;  janitors,etc) to allow for drain pipes and MEP services </t>
  </si>
  <si>
    <t>[C-04] Supply &amp; install  fire rated gypsum bulkhead    - Location: Party rooms</t>
  </si>
  <si>
    <t>[W-01] Supply and installation of 10MM Laminated Safety Glass (3.6 x 10.3m)</t>
  </si>
  <si>
    <t xml:space="preserve">Fabrication, supply &amp; installation of 50 x 50MM structural steel supports needed for the shopfront glass and roller shutter + signage  </t>
  </si>
  <si>
    <t>Rail- Type 1: Supply &amp; install 50mm dia powder coated Black Metal Railing with mesh for play area including needed accessories to fix on floor @ 1.2m ht</t>
  </si>
  <si>
    <t>Rail- Type  2: Supply &amp; install 50mm powder coated Black Metal Railing without  mesh  including needed accessories to fix on floor @ 1.2m ht</t>
  </si>
  <si>
    <t>[W-03] Supply &amp; install CNC cut wood to achieve window shape as per proposed design  including needed accessories, putty, &amp; paint
Size: 1600x4000x10mm
Location: Party Rooms</t>
  </si>
  <si>
    <t xml:space="preserve">Supply &amp; installation of MESH PARTITION above bar partition wall to separate stroller bay and cafe bar. Made with black powder coated steel frame with 50x50 steel mesh.                                          Size: 1254x2812 MM - framing (50X50MM steel tube on top and from side &amp; 100mm steel tube at the bottom - Location: bar </t>
  </si>
  <si>
    <t>[D-08] Supply &amp; install 10mm 3 panel sliding tempered glass door with all necessory ironmongery, accessories, archtraves &amp; Frames
Size: 3300mm(length) x 2450mm(height)
Location: Party Room</t>
  </si>
  <si>
    <t>[D-07] Supply &amp; install 10mm single swing tempered glass door with all necessory ironmongery, accessories, archtraves &amp; Frames
Size: 1100mm(length) x 2450mm(height)
Location: Party Room</t>
  </si>
  <si>
    <r>
      <t xml:space="preserve">Supply &amp; installation of </t>
    </r>
    <r>
      <rPr>
        <b/>
        <u/>
        <sz val="11"/>
        <color rgb="FF000000"/>
        <rFont val="Aptos Narrow"/>
        <family val="2"/>
        <scheme val="minor"/>
      </rPr>
      <t>mini infiniti wal</t>
    </r>
    <r>
      <rPr>
        <b/>
        <sz val="11"/>
        <color rgb="FF000000"/>
        <rFont val="Aptos Narrow"/>
        <family val="2"/>
        <scheme val="minor"/>
      </rPr>
      <t xml:space="preserve">l </t>
    </r>
    <r>
      <rPr>
        <sz val="11"/>
        <color rgb="FF000000"/>
        <rFont val="Aptos Narrow"/>
        <family val="2"/>
        <scheme val="minor"/>
      </rPr>
      <t xml:space="preserve">as per drawings attached including acrylic sheets 20MM, Steel tubes 150 x 150 MM - Thickness 6MM  (Refer to steel drawings of play area by structural engineer)- Size 5.3 x 3M height </t>
    </r>
  </si>
  <si>
    <t>Provide needed tools for Funlandia installation team (Basic tools such as drills, grinder, handyman tools)</t>
  </si>
  <si>
    <t xml:space="preserve">Provide 2 Labors for the duration of approximately 2 weeks to help Funlandia installtion team </t>
  </si>
  <si>
    <t>Assist &amp; provide 10 Labors to Help in the installation of the venue such as  (trampolines rubber,  trampoline padding, safety paddings)</t>
  </si>
  <si>
    <t xml:space="preserve">SQM </t>
  </si>
  <si>
    <t xml:space="preserve">All Electrical works are to be carried out to as per regulations by a contractor approved by local government and to the highest standard of materials and workmanship. </t>
  </si>
  <si>
    <t xml:space="preserve"> -   </t>
  </si>
  <si>
    <t xml:space="preserve">Supply and installation armoured cable to reach new isolator location in electrical room.                                               </t>
  </si>
  <si>
    <t>Supply and installation of 80A electrical DB-01 as per Emaar guidelines and DEWA standards including all accessories and mounting.</t>
  </si>
  <si>
    <t>Supply and installation of 100A electrical DB-02 as per Emaar guidelines and DEWA standards including all accessories and mounting.</t>
  </si>
  <si>
    <t>Supply and installation of 160A electrical DB-03 as per Emaar guidelines and DEWA standards including all accessories and mounting.</t>
  </si>
  <si>
    <r>
      <t xml:space="preserve">Supply and installation of </t>
    </r>
    <r>
      <rPr>
        <b/>
        <sz val="11"/>
        <rFont val="Calibri"/>
        <family val="2"/>
      </rPr>
      <t>incomer</t>
    </r>
    <r>
      <rPr>
        <sz val="11"/>
        <rFont val="Calibri"/>
        <family val="2"/>
      </rPr>
      <t xml:space="preserve"> XLPE/SWA/PVC </t>
    </r>
    <r>
      <rPr>
        <b/>
        <sz val="11"/>
        <rFont val="Calibri"/>
        <family val="2"/>
      </rPr>
      <t>4CX300MM</t>
    </r>
    <r>
      <rPr>
        <sz val="11"/>
        <rFont val="Calibri"/>
        <family val="2"/>
      </rPr>
      <t xml:space="preserve"> Armoured cable including </t>
    </r>
    <r>
      <rPr>
        <b/>
        <sz val="11"/>
        <rFont val="Calibri"/>
        <family val="2"/>
      </rPr>
      <t>1Cx150MM ECC</t>
    </r>
    <r>
      <rPr>
        <sz val="11"/>
        <rFont val="Calibri"/>
        <family val="2"/>
      </rPr>
      <t xml:space="preserve"> from Mall Isolator to </t>
    </r>
    <r>
      <rPr>
        <b/>
        <sz val="11"/>
        <rFont val="Calibri"/>
        <family val="2"/>
      </rPr>
      <t>SMDB-AC</t>
    </r>
    <r>
      <rPr>
        <sz val="11"/>
        <rFont val="Calibri"/>
        <family val="2"/>
      </rPr>
      <t xml:space="preserve"> including cleats and cable tray</t>
    </r>
  </si>
  <si>
    <r>
      <t xml:space="preserve">EXISTING of </t>
    </r>
    <r>
      <rPr>
        <b/>
        <sz val="11"/>
        <rFont val="Calibri"/>
        <family val="2"/>
      </rPr>
      <t>incomer</t>
    </r>
    <r>
      <rPr>
        <sz val="11"/>
        <rFont val="Calibri"/>
        <family val="2"/>
      </rPr>
      <t xml:space="preserve"> XLPE/SWA/PVC </t>
    </r>
    <r>
      <rPr>
        <b/>
        <sz val="11"/>
        <rFont val="Calibri"/>
        <family val="2"/>
      </rPr>
      <t>2x</t>
    </r>
    <r>
      <rPr>
        <sz val="11"/>
        <rFont val="Calibri"/>
        <family val="2"/>
      </rPr>
      <t xml:space="preserve"> </t>
    </r>
    <r>
      <rPr>
        <b/>
        <sz val="11"/>
        <rFont val="Calibri"/>
        <family val="2"/>
      </rPr>
      <t>4CX300MM</t>
    </r>
    <r>
      <rPr>
        <sz val="11"/>
        <rFont val="Calibri"/>
        <family val="2"/>
      </rPr>
      <t xml:space="preserve"> Armoured cable including </t>
    </r>
    <r>
      <rPr>
        <b/>
        <sz val="11"/>
        <rFont val="Calibri"/>
        <family val="2"/>
      </rPr>
      <t>2x</t>
    </r>
    <r>
      <rPr>
        <sz val="11"/>
        <rFont val="Calibri"/>
        <family val="2"/>
      </rPr>
      <t xml:space="preserve"> </t>
    </r>
    <r>
      <rPr>
        <b/>
        <sz val="11"/>
        <rFont val="Calibri"/>
        <family val="2"/>
      </rPr>
      <t>1Cx150MM ECC</t>
    </r>
    <r>
      <rPr>
        <sz val="11"/>
        <rFont val="Calibri"/>
        <family val="2"/>
      </rPr>
      <t xml:space="preserve"> from Mall Isolator to </t>
    </r>
    <r>
      <rPr>
        <b/>
        <sz val="11"/>
        <rFont val="Calibri"/>
        <family val="2"/>
      </rPr>
      <t>SMDB-PU</t>
    </r>
    <r>
      <rPr>
        <sz val="11"/>
        <rFont val="Calibri"/>
        <family val="2"/>
      </rPr>
      <t xml:space="preserve"> including cleats and cable tray</t>
    </r>
  </si>
  <si>
    <r>
      <t xml:space="preserve">Supply and installation of XLPE/SWA/PVC </t>
    </r>
    <r>
      <rPr>
        <b/>
        <sz val="11"/>
        <rFont val="Calibri"/>
        <family val="2"/>
      </rPr>
      <t>4Cx 25MM2</t>
    </r>
    <r>
      <rPr>
        <sz val="11"/>
        <rFont val="Calibri"/>
        <family val="2"/>
      </rPr>
      <t xml:space="preserve"> Armoured cable and earth cable </t>
    </r>
    <r>
      <rPr>
        <b/>
        <sz val="11"/>
        <rFont val="Calibri"/>
        <family val="2"/>
      </rPr>
      <t>1Cx16MM</t>
    </r>
    <r>
      <rPr>
        <sz val="11"/>
        <rFont val="Calibri"/>
        <family val="2"/>
      </rPr>
      <t xml:space="preserve"> from SMDB to </t>
    </r>
    <r>
      <rPr>
        <b/>
        <sz val="11"/>
        <rFont val="Calibri"/>
        <family val="2"/>
      </rPr>
      <t>DB-01</t>
    </r>
    <r>
      <rPr>
        <sz val="11"/>
        <rFont val="Calibri"/>
        <family val="2"/>
      </rPr>
      <t xml:space="preserve"> including cleats and cable tray</t>
    </r>
  </si>
  <si>
    <r>
      <t xml:space="preserve">Supply and installation of XLPE/SWA/PVC </t>
    </r>
    <r>
      <rPr>
        <b/>
        <sz val="11"/>
        <rFont val="Calibri"/>
        <family val="2"/>
      </rPr>
      <t>4Cx35MM2</t>
    </r>
    <r>
      <rPr>
        <sz val="11"/>
        <rFont val="Calibri"/>
        <family val="2"/>
      </rPr>
      <t xml:space="preserve"> Armoured cable and </t>
    </r>
    <r>
      <rPr>
        <b/>
        <sz val="11"/>
        <rFont val="Calibri"/>
        <family val="2"/>
      </rPr>
      <t>1Cx16MM</t>
    </r>
    <r>
      <rPr>
        <sz val="11"/>
        <rFont val="Calibri"/>
        <family val="2"/>
      </rPr>
      <t xml:space="preserve"> earth cable from SMDB to </t>
    </r>
    <r>
      <rPr>
        <b/>
        <sz val="11"/>
        <rFont val="Calibri"/>
        <family val="2"/>
      </rPr>
      <t>DB-02</t>
    </r>
    <r>
      <rPr>
        <sz val="11"/>
        <rFont val="Calibri"/>
        <family val="2"/>
      </rPr>
      <t xml:space="preserve"> including cleats and cable tray</t>
    </r>
  </si>
  <si>
    <r>
      <t xml:space="preserve">Supply and installation of XLPE/SWA/PVC </t>
    </r>
    <r>
      <rPr>
        <b/>
        <sz val="11"/>
        <rFont val="Calibri"/>
        <family val="2"/>
      </rPr>
      <t>4Cx70MM2</t>
    </r>
    <r>
      <rPr>
        <sz val="11"/>
        <rFont val="Calibri"/>
        <family val="2"/>
      </rPr>
      <t xml:space="preserve"> Armoured cable and </t>
    </r>
    <r>
      <rPr>
        <b/>
        <sz val="11"/>
        <rFont val="Calibri"/>
        <family val="2"/>
      </rPr>
      <t>1Cx35MM</t>
    </r>
    <r>
      <rPr>
        <sz val="11"/>
        <rFont val="Calibri"/>
        <family val="2"/>
      </rPr>
      <t xml:space="preserve"> earth cable from SMDB to </t>
    </r>
    <r>
      <rPr>
        <b/>
        <sz val="11"/>
        <rFont val="Calibri"/>
        <family val="2"/>
      </rPr>
      <t>DB-03</t>
    </r>
    <r>
      <rPr>
        <sz val="11"/>
        <rFont val="Calibri"/>
        <family val="2"/>
      </rPr>
      <t xml:space="preserve"> including cleats and cable tray</t>
    </r>
  </si>
  <si>
    <r>
      <t xml:space="preserve">Supply and installation of XLPE/SWA/PVC </t>
    </r>
    <r>
      <rPr>
        <b/>
        <sz val="11"/>
        <rFont val="Calibri"/>
        <family val="2"/>
      </rPr>
      <t>4Cx10MM2</t>
    </r>
    <r>
      <rPr>
        <sz val="11"/>
        <rFont val="Calibri"/>
        <family val="2"/>
      </rPr>
      <t xml:space="preserve"> Armoured cable and </t>
    </r>
    <r>
      <rPr>
        <b/>
        <sz val="11"/>
        <rFont val="Calibri"/>
        <family val="2"/>
      </rPr>
      <t>1Cx10MM</t>
    </r>
    <r>
      <rPr>
        <sz val="11"/>
        <rFont val="Calibri"/>
        <family val="2"/>
      </rPr>
      <t xml:space="preserve"> earth cable from SMDB to </t>
    </r>
    <r>
      <rPr>
        <b/>
        <sz val="11"/>
        <rFont val="Calibri"/>
        <family val="2"/>
      </rPr>
      <t>DB-04</t>
    </r>
    <r>
      <rPr>
        <sz val="11"/>
        <rFont val="Calibri"/>
        <family val="2"/>
      </rPr>
      <t xml:space="preserve"> including cleats and cable tray</t>
    </r>
  </si>
  <si>
    <r>
      <t xml:space="preserve">Supply and installation of XLPE/SWA/PVC </t>
    </r>
    <r>
      <rPr>
        <b/>
        <sz val="11"/>
        <rFont val="Calibri"/>
        <family val="2"/>
      </rPr>
      <t>4Cx10MM2</t>
    </r>
    <r>
      <rPr>
        <sz val="11"/>
        <rFont val="Calibri"/>
        <family val="2"/>
      </rPr>
      <t xml:space="preserve"> Armoured cable and </t>
    </r>
    <r>
      <rPr>
        <b/>
        <sz val="11"/>
        <rFont val="Calibri"/>
        <family val="2"/>
      </rPr>
      <t>1Cx10MM</t>
    </r>
    <r>
      <rPr>
        <sz val="11"/>
        <rFont val="Calibri"/>
        <family val="2"/>
      </rPr>
      <t xml:space="preserve"> earth cable from SMDB to </t>
    </r>
    <r>
      <rPr>
        <b/>
        <sz val="11"/>
        <rFont val="Calibri"/>
        <family val="2"/>
      </rPr>
      <t xml:space="preserve">ELEC TRIPLE DECK OVEN </t>
    </r>
    <r>
      <rPr>
        <sz val="11"/>
        <rFont val="Calibri"/>
        <family val="2"/>
      </rPr>
      <t xml:space="preserve"> including cleats and cable tray</t>
    </r>
  </si>
  <si>
    <r>
      <t xml:space="preserve">Supply and installation of XLPE/SWA/PVC </t>
    </r>
    <r>
      <rPr>
        <b/>
        <sz val="11"/>
        <rFont val="Calibri"/>
        <family val="2"/>
      </rPr>
      <t>4Cx6MM2</t>
    </r>
    <r>
      <rPr>
        <sz val="11"/>
        <rFont val="Calibri"/>
        <family val="2"/>
      </rPr>
      <t xml:space="preserve"> Armoured cable and </t>
    </r>
    <r>
      <rPr>
        <b/>
        <sz val="11"/>
        <rFont val="Calibri"/>
        <family val="2"/>
      </rPr>
      <t>1Cx6MM</t>
    </r>
    <r>
      <rPr>
        <sz val="11"/>
        <rFont val="Calibri"/>
        <family val="2"/>
      </rPr>
      <t xml:space="preserve"> earth cable from SMDB to </t>
    </r>
    <r>
      <rPr>
        <b/>
        <sz val="11"/>
        <rFont val="Calibri"/>
        <family val="2"/>
      </rPr>
      <t xml:space="preserve">ISO-CP- TEK-01 </t>
    </r>
    <r>
      <rPr>
        <sz val="11"/>
        <rFont val="Calibri"/>
        <family val="2"/>
      </rPr>
      <t xml:space="preserve"> including cleats and cable tray</t>
    </r>
  </si>
  <si>
    <r>
      <t xml:space="preserve">Supply and installation of XLPE/SWA/PVC </t>
    </r>
    <r>
      <rPr>
        <b/>
        <sz val="11"/>
        <rFont val="Calibri"/>
        <family val="2"/>
      </rPr>
      <t>4Cx6MM2</t>
    </r>
    <r>
      <rPr>
        <sz val="11"/>
        <rFont val="Calibri"/>
        <family val="2"/>
      </rPr>
      <t xml:space="preserve"> Armoured cable and </t>
    </r>
    <r>
      <rPr>
        <b/>
        <sz val="11"/>
        <rFont val="Calibri"/>
        <family val="2"/>
      </rPr>
      <t>1Cx6MM</t>
    </r>
    <r>
      <rPr>
        <sz val="11"/>
        <rFont val="Calibri"/>
        <family val="2"/>
      </rPr>
      <t xml:space="preserve"> earth cable from SMDB to</t>
    </r>
    <r>
      <rPr>
        <b/>
        <sz val="11"/>
        <rFont val="Calibri"/>
        <family val="2"/>
      </rPr>
      <t xml:space="preserve"> ISO-CP- FAHU-01 </t>
    </r>
    <r>
      <rPr>
        <sz val="11"/>
        <rFont val="Calibri"/>
        <family val="2"/>
      </rPr>
      <t xml:space="preserve"> including cleats and cable tray</t>
    </r>
  </si>
  <si>
    <r>
      <t xml:space="preserve">Supply and installation of XLPE/SWA/PVC </t>
    </r>
    <r>
      <rPr>
        <b/>
        <sz val="11"/>
        <rFont val="Calibri"/>
        <family val="2"/>
      </rPr>
      <t>4Cx6MM2</t>
    </r>
    <r>
      <rPr>
        <sz val="11"/>
        <rFont val="Calibri"/>
        <family val="2"/>
      </rPr>
      <t xml:space="preserve"> Armoured cable and </t>
    </r>
    <r>
      <rPr>
        <b/>
        <sz val="11"/>
        <rFont val="Calibri"/>
        <family val="2"/>
      </rPr>
      <t>1Cx6MM</t>
    </r>
    <r>
      <rPr>
        <sz val="11"/>
        <rFont val="Calibri"/>
        <family val="2"/>
      </rPr>
      <t xml:space="preserve"> earth cable from SMDB to </t>
    </r>
    <r>
      <rPr>
        <b/>
        <sz val="11"/>
        <rFont val="Calibri"/>
        <family val="2"/>
      </rPr>
      <t xml:space="preserve">ISO-CP- ODU-FAHU-01 </t>
    </r>
    <r>
      <rPr>
        <sz val="11"/>
        <rFont val="Calibri"/>
        <family val="2"/>
      </rPr>
      <t xml:space="preserve"> including cleats and cable tray</t>
    </r>
  </si>
  <si>
    <r>
      <t xml:space="preserve">Supply and installation of XLPE/SWA/PVC </t>
    </r>
    <r>
      <rPr>
        <b/>
        <sz val="11"/>
        <rFont val="Calibri"/>
        <family val="2"/>
      </rPr>
      <t>4Cx6MM2</t>
    </r>
    <r>
      <rPr>
        <sz val="11"/>
        <rFont val="Calibri"/>
        <family val="2"/>
      </rPr>
      <t xml:space="preserve"> Armoured cable and </t>
    </r>
    <r>
      <rPr>
        <b/>
        <sz val="11"/>
        <rFont val="Calibri"/>
        <family val="2"/>
      </rPr>
      <t>1Cx6MM</t>
    </r>
    <r>
      <rPr>
        <sz val="11"/>
        <rFont val="Calibri"/>
        <family val="2"/>
      </rPr>
      <t xml:space="preserve"> earth cable from SMDB to </t>
    </r>
    <r>
      <rPr>
        <b/>
        <sz val="11"/>
        <rFont val="Calibri"/>
        <family val="2"/>
      </rPr>
      <t>ISO-CP-ECU-01</t>
    </r>
    <r>
      <rPr>
        <sz val="11"/>
        <rFont val="Calibri"/>
        <family val="2"/>
      </rPr>
      <t xml:space="preserve"> including cleats and cable tray</t>
    </r>
  </si>
  <si>
    <t>Supply and installation of light control panel in steel enclosures including gang switches</t>
  </si>
  <si>
    <r>
      <t xml:space="preserve">Supply and installation of </t>
    </r>
    <r>
      <rPr>
        <b/>
        <sz val="11"/>
        <rFont val="Calibri"/>
        <family val="2"/>
      </rPr>
      <t xml:space="preserve"> isolato</t>
    </r>
    <r>
      <rPr>
        <sz val="11"/>
        <rFont val="Calibri"/>
        <family val="2"/>
      </rPr>
      <t>r for equipment as per design proposed. as per new layout (Indoor &amp; outdoor)</t>
    </r>
  </si>
  <si>
    <t xml:space="preserve">Supply and install conduiting and wiring for external signage </t>
  </si>
  <si>
    <t>Supply and install of Flex Outlet and DB Switch EWH</t>
  </si>
  <si>
    <t xml:space="preserve">Supply and install ISOL unit  with DP switch </t>
  </si>
  <si>
    <t>Supply and install flex outlet with DP switch for kitchen hood</t>
  </si>
  <si>
    <r>
      <t>Provide 25mm PVC conduit, 4mm2 wiring, Power supply for</t>
    </r>
    <r>
      <rPr>
        <b/>
        <sz val="11"/>
        <rFont val="Calibri"/>
        <family val="2"/>
      </rPr>
      <t xml:space="preserve"> FACP, EMERGENCY PANEL Security system </t>
    </r>
    <r>
      <rPr>
        <sz val="11"/>
        <rFont val="Calibri"/>
        <family val="2"/>
      </rPr>
      <t>with necessary breakers.</t>
    </r>
  </si>
  <si>
    <r>
      <t>Provide 20mm GI conduiting and 2.5mm2 wiring for</t>
    </r>
    <r>
      <rPr>
        <b/>
        <sz val="11"/>
        <rFont val="Calibri"/>
        <family val="2"/>
      </rPr>
      <t xml:space="preserve"> Air Condition and FAHU Thermostat.</t>
    </r>
    <r>
      <rPr>
        <sz val="11"/>
        <rFont val="Calibri"/>
        <family val="2"/>
      </rPr>
      <t xml:space="preserve"> </t>
    </r>
  </si>
  <si>
    <t>SUB TOTAL ELECTRICAL WORKS</t>
  </si>
  <si>
    <t>Supply and Installation of  DX-FCUs (INDOOR AND OUTDOOR) including Control box  but not limited to all fittings, supports, connections and any other items required for a complete installation.</t>
  </si>
  <si>
    <t xml:space="preserve">Maintenance of Exsting Package Unit </t>
  </si>
  <si>
    <t>Maintenance of Exsting MUA-TEK-01</t>
  </si>
  <si>
    <t>Supply and Installation of Ecology unit including starter/ VFD panel but not limited to all fittings, supports, connections and any other items required for a complete installation.</t>
  </si>
  <si>
    <t>Supply and Installation of  FAHU including starter/ VFD panel but not limited to all fittings, supports, connections and any other items required for a complete installation.</t>
  </si>
  <si>
    <t>Supply and Installation of  Toilet Extract Fan including starter  but not limited to all fittings, supports, connections and any other items required for a complete installation.</t>
  </si>
  <si>
    <t>Supply, fabrication and installation of GI rectangualr ducts for Supply air duct, 3m acoustic lining from FCU with all its fittings, supports and accessories. As per the new proposed layout requirements including round dropper for diffuser</t>
  </si>
  <si>
    <t>Sqm</t>
  </si>
  <si>
    <t xml:space="preserve">modification and reuse of existing duct </t>
  </si>
  <si>
    <t>Supply, fabrication and installation of GI rectangualr ducts for  fresh air duct, with all its fittings, supports and accessories. As per the new proposed layout requirements including round dropper for diffuser</t>
  </si>
  <si>
    <t>Supply, fabrication and installation of GI rectangualr ducts for  toilet air duct, with all its fittings, supports and accessories. As per the new proposed layout requirements including round dropper for diffuser</t>
  </si>
  <si>
    <t xml:space="preserve">Supply and installation of Refrigerant pipe for DX-FCU and Dx-Fahu with as shown  on the drawings and specified including but not limited to all fittings, and any other items required for a complete installation </t>
  </si>
  <si>
    <t>Supply and  Installation of Condensate drain piping as shown on the drawings and specified including but not limited to all fittings,insulation, supports, connections and any other items required for a complete installation.</t>
  </si>
  <si>
    <t>Supply and  Installation of aluminium cladding for roof duct , refrigerent piping and cdp piping including but not limited to all fittings,insulation, supports, connections and any other items required for a complete installation.</t>
  </si>
  <si>
    <t xml:space="preserve">Supply &amp; installation of  thermostat with wiring &amp; conduiting </t>
  </si>
  <si>
    <t>Supply and install VCD for all ducting for air balancing</t>
  </si>
  <si>
    <t>DIA 200</t>
  </si>
  <si>
    <t>500x200</t>
  </si>
  <si>
    <t>950x450</t>
  </si>
  <si>
    <t>1100x450</t>
  </si>
  <si>
    <t>500x350</t>
  </si>
  <si>
    <t>700x450</t>
  </si>
  <si>
    <t>700x400</t>
  </si>
  <si>
    <t>500x400</t>
  </si>
  <si>
    <t>450x250</t>
  </si>
  <si>
    <t>400x300</t>
  </si>
  <si>
    <t>350x200</t>
  </si>
  <si>
    <t>350x150</t>
  </si>
  <si>
    <t>250x250</t>
  </si>
  <si>
    <t>350x300</t>
  </si>
  <si>
    <t>550X400</t>
  </si>
  <si>
    <t>500X300</t>
  </si>
  <si>
    <t>DIA 450</t>
  </si>
  <si>
    <t>MS-350X300</t>
  </si>
  <si>
    <t>500x250</t>
  </si>
  <si>
    <t>Supply and Install Air Terminal (Supply &amp; Return) from an approved manufacturer fixed to ductwork as detailed in drawings including all integrals and fixtures . For FCUs</t>
  </si>
  <si>
    <t>Supply round diffuser- Dia 450</t>
  </si>
  <si>
    <t>Supply jet diffuser- Dia 400</t>
  </si>
  <si>
    <t>Supply air Square diffuser 375x375</t>
  </si>
  <si>
    <t>Supply air Square diffuser 525X525</t>
  </si>
  <si>
    <t>Return air Square diffuser 525X525</t>
  </si>
  <si>
    <t>Supply air Square diffuser 225X225</t>
  </si>
  <si>
    <t>Return air Square diffuser 225X225</t>
  </si>
  <si>
    <t>Supply air Square diffuser 300X300</t>
  </si>
  <si>
    <t>Return air Square diffuser 300X300</t>
  </si>
  <si>
    <t>combination flow bar diffuser 1 slot, 40mm-19052mm(L),</t>
  </si>
  <si>
    <t>2000 S+2000 R</t>
  </si>
  <si>
    <t>Extract Air Louver - 1000 x 600 mm</t>
  </si>
  <si>
    <t>Extract Air Louver -500 x 450 mm</t>
  </si>
  <si>
    <t>sand trape Louver-900x 450 mm</t>
  </si>
  <si>
    <t xml:space="preserve">Pressure testing of Refrigerent Pipe network, Nitrogen flushing </t>
  </si>
  <si>
    <t>AC &amp; HVAC  WORKS</t>
  </si>
  <si>
    <t xml:space="preserve">FIRE ALARM &amp; EMERGENCY LIGHTS </t>
  </si>
  <si>
    <t>Relocation of Smoke Detector with Base and required FP-200 cabling.</t>
  </si>
  <si>
    <t>Supply and Installation of Heat Detector with Base and required FP-200 cabling.</t>
  </si>
  <si>
    <t>Relocation of void Smoke Detector with Base above ceiling including indicator and required FP-200 cabling. (Above first aid room, toilets and kitchen)</t>
  </si>
  <si>
    <t>Supply &amp; installation of new Break Glass with the required FP-200 cabling</t>
  </si>
  <si>
    <t>Relocation of existing sounder with the required FP-200 cabling</t>
  </si>
  <si>
    <t xml:space="preserve">Supply &amp; install control module with back box (new panel loop) for interfacing of FACP to building </t>
  </si>
  <si>
    <t xml:space="preserve">Supply &amp; install monitor module with back box (building panel loop) for interfacing of FACP to building </t>
  </si>
  <si>
    <t>Reprogramming of IFU Modules for interfacing FCU's panel, Smoke Management extract &amp; make up air, Zone control valve, Music System, HVAC units (Ecology, FAHU, heat recovery unit, Make up air), Gas, Hood</t>
  </si>
  <si>
    <t xml:space="preserve">Isolation, Enabling &amp; disabling FA system </t>
  </si>
  <si>
    <t>Programming ,Testing and commissioning of FACP</t>
  </si>
  <si>
    <t>EM &amp; EX:</t>
  </si>
  <si>
    <t>Relocation of central monitoring panel for EX &amp; EM lights with required programming and cable</t>
  </si>
  <si>
    <t>Relocation self contained emergency light with battery back up (Full area)</t>
  </si>
  <si>
    <t>Supply and Installation of new self Contained Exit Light with battery back-up</t>
  </si>
  <si>
    <t>Supply &amp; pull needed fire cables for Emergency &amp; exit light nstallation</t>
  </si>
  <si>
    <t>Sub - Total - FA &amp; EM + EX  Lighting</t>
  </si>
  <si>
    <t>FIRE Fighting:</t>
  </si>
  <si>
    <t>Supply and installation of Fire Fighting pendant  sprinklers system, complete with pipes, sprinkler, red paint on pipes and all accessories as per CD requirements (Clouded on drawings Grid X3)</t>
  </si>
  <si>
    <t>Relocation of Fire Fighting pendant  sprinklers system, complete with pipes, sprinkler, red paint on pipes and all accessories as per CD requirements (Raised Floor clouded pink, Party rooms, kitchen, above xrun and Below Ducts)</t>
  </si>
  <si>
    <t>Supply and installation of fire extinguisher (5KG Dry powder &amp; 6KG CO2 ) as per the civil defence requirement</t>
  </si>
  <si>
    <t>Set</t>
  </si>
  <si>
    <t>Hydraulic pressure test for fire fighting system</t>
  </si>
  <si>
    <t xml:space="preserve">Disabling &amp; draining FF system </t>
  </si>
  <si>
    <t>Supply and install of fire blankets</t>
  </si>
  <si>
    <t xml:space="preserve">Sub - Total Fire Fighting </t>
  </si>
  <si>
    <t>FIRE SUPPRESSION SYSTEM</t>
  </si>
  <si>
    <t>Sub - Total Fire Suppression System</t>
  </si>
  <si>
    <t>PLUMBING</t>
  </si>
  <si>
    <t>Supply &amp; install PPR 40dia, 32dia &amp; 25 dia water line complete with angle valve for hot and cold line</t>
  </si>
  <si>
    <t>Supply &amp; install PPR water line water hammer arrestor</t>
  </si>
  <si>
    <t>Supply &amp; install Water heater 100L @ 150 L</t>
  </si>
  <si>
    <t>Water pipe pressure test</t>
  </si>
  <si>
    <t xml:space="preserve">Provide Chlorination test from third party lab </t>
  </si>
  <si>
    <t>Drain Works:</t>
  </si>
  <si>
    <t>Supply &amp; install HDPE drain pipe for waste water including wall and floor</t>
  </si>
  <si>
    <t>Servicing of existing HDPE pipe for soil and urinal</t>
  </si>
  <si>
    <t xml:space="preserve">Supply &amp; install undercounter Grease trap with dosing pump - AG1 type under sink </t>
  </si>
  <si>
    <t xml:space="preserve">Supply &amp; install HDPE floor traps </t>
  </si>
  <si>
    <t>Supply and install of Clean out for waste and soil pipes</t>
  </si>
  <si>
    <t>Supply and install of Vent pipes including connection to Mall existing vent pipe</t>
  </si>
  <si>
    <t xml:space="preserve">Gravity &amp; flood test </t>
  </si>
  <si>
    <t xml:space="preserve">Testing &amp; Commissioning </t>
  </si>
  <si>
    <t>Sub - Total Plumbing</t>
  </si>
  <si>
    <t>BOQ SUMMARY</t>
  </si>
  <si>
    <t>STEEL, ALUMINUM &amp; GLASS WORKS</t>
  </si>
  <si>
    <t>Doors</t>
  </si>
  <si>
    <t>Fixtures:</t>
  </si>
  <si>
    <t xml:space="preserve">Lighting </t>
  </si>
  <si>
    <t xml:space="preserve">Sanitary </t>
  </si>
  <si>
    <r>
      <t xml:space="preserve">Signage </t>
    </r>
    <r>
      <rPr>
        <sz val="11"/>
        <color rgb="FF00B050"/>
        <rFont val="Aptos Narrow"/>
        <family val="2"/>
        <scheme val="minor"/>
      </rPr>
      <t>(By client)</t>
    </r>
  </si>
  <si>
    <t xml:space="preserve">Structural &amp; play area steel works </t>
  </si>
  <si>
    <t xml:space="preserve">Play area steel works </t>
  </si>
  <si>
    <t>MEP</t>
  </si>
  <si>
    <t>Electrical</t>
  </si>
  <si>
    <t>Fire Alarm &amp; Emergency Lights</t>
  </si>
  <si>
    <t>Fire Fighting</t>
  </si>
  <si>
    <t>Fire Suppression System</t>
  </si>
  <si>
    <t>Plumbing</t>
  </si>
  <si>
    <t xml:space="preserve">Supply &amp; install FREEJUMP area including steel tubes 80 x80MM &amp; 50 x 50MM including extruded / 3D wall plywood cladding </t>
  </si>
  <si>
    <t xml:space="preserve">Supply &amp; install ''SUPERSOFT'' area including steel tubes 80 x80MM &amp; 50 x 50MM including extruded / 3D wall plywood cladding </t>
  </si>
  <si>
    <t xml:space="preserve">Supply &amp; install a '' parkoor area''  as per steel drawings of play area </t>
  </si>
  <si>
    <t>Supply &amp; install ''TRAMPOLINE STEEL FRAMES'' 80x80 - 50x50 - 75x50MM (Trampoline types - T1, T4, T6, ect. )         )including necessary steel plates &amp; wiggle bars as per approved layout (High performance, Dodge ball, High performance, free JUMP,  ….Ect. for all type of proposed trampolines (85 Trampolines)</t>
  </si>
  <si>
    <t xml:space="preserve">Supply &amp; install elevated ''DANCE FLOOR WITH  BENCH''   including steel tubes 80 x 80MM +50 x 50 MM as per steel drawings of play area </t>
  </si>
  <si>
    <t xml:space="preserve">Supply &amp; install ''RAISED AREA @900MM for SEATING AREA'' including 50x50MM &amp; 40x40M - 4mmThick tubes, 200x200MM -4mm thick steel plates including 10cm screed with 6MM steel mesh, laid on top of metal decking sheet 0.9MM thick ready to receive final finish </t>
  </si>
  <si>
    <t xml:space="preserve">Provision for ''STEPS'' going to  raised area (900MM height) + staircase going towards the play area from the reception
Size:
6 x 4 steps @ .35 Cm  per step -riser 18cm </t>
  </si>
  <si>
    <t xml:space="preserve">Provision for ''STEPS'' going to  raised area (900MM height) + staircase going towards the general seating area from café bar
Size:
9 x 4 steps @ .35 cm per step - riser 18 cm </t>
  </si>
  <si>
    <t xml:space="preserve">Provision for ''STEPS'' going to  raised area (900MM height) + staircase going towards the fire exit from general seating area
Size:
1.5 x 4 steps @ .35 cm per step - riser 18 cm </t>
  </si>
  <si>
    <t xml:space="preserve">Supply &amp; install ''STEEL PLATFORM'' for FCU units  including railing for safety- Size 1000 x 1000MM  </t>
  </si>
  <si>
    <t>Supply &amp; install ''DODGE BALL'' including steel tubes 50 x 50 MM as per steel drawings of play area</t>
  </si>
  <si>
    <t xml:space="preserve">Supply &amp; install  ''AIR BAG AREA'' </t>
  </si>
  <si>
    <t xml:space="preserve">Supply and installation of ''INFINITY WALL'' as per drawings attached including acrylic sheets 20MM, Steel tubes 150 x 150 MM - Thickness 6MM + 400 X400 MM- Thickness 8MM steel plates (Refer to steel drawings of play area by structural engineer) - Size : 8.7 x 8.85M </t>
  </si>
  <si>
    <t>Supply &amp; install needed steel for ''FOOTBALL / BASKETBALL COURT'' as per steel drawings of play area'' including special soccer field glass, Powder coated steel Coals, support for Basketball boards (Basket ball boards to be supplied by client)</t>
  </si>
  <si>
    <t>Provide needed labors to offload containers of Funlandia ( 2 Containers)</t>
  </si>
  <si>
    <t xml:space="preserve">Hire Crane, forklift, scissorlift or any other equipment needed for the duration of the project to facilitate working on heights as well as for mobilisation and shifting materials to the site.  </t>
  </si>
  <si>
    <t>[W-03] Supply &amp; install fire rated Artificial Grass wall (same as springs) including accessories to fix to the wall (Fire rated certificate is Mandatory)</t>
  </si>
  <si>
    <t>[W-05] Supply &amp; install 4MM Red Brick including accessories to fix to the wall (Reception &amp; party rooms)</t>
  </si>
  <si>
    <t>[F-01] Supply &amp; Installation of fire rated artificial Grass as per approved drawings using 'bison kit' adhesive at the play area. 
Location: Play Area</t>
  </si>
  <si>
    <t>[F-04] Supply and fixing of 600x600mm concrete finish dark grey porcelain floor tiles with tile adhesive and tile grout as per approved. Make: RAK ceramic or similar
Location: General Seating Area</t>
  </si>
  <si>
    <t>Fabrication, supply &amp; installation of fire rated gypsum board  to cover the steel support.</t>
  </si>
  <si>
    <t xml:space="preserve">Supply &amp; install 25x25 round/hexagon shape blackpowdercoated mesh on columns as per approved design </t>
  </si>
  <si>
    <t xml:space="preserve">Supply &amp; install  oakwood veneer finish cladding extruded by 10cm on columns as per approved design </t>
  </si>
  <si>
    <t>[J-20]Supply &amp; installation of Conference Table in fire rated mdf oak veneer finish top  w/ black steel leg support including accessories including bolts, hinges, etc..,
Size: 1800x1000x750
Location: Office</t>
  </si>
  <si>
    <t xml:space="preserve">Supply &amp; install 18MM lacquer finished painted fire rated  Solid plywood to cladd all visible steel  areas in the play area  </t>
  </si>
  <si>
    <t xml:space="preserve">Supply &amp; installation of hoarding (Size: 24.3 x 4M)  including   printed branded sticker on hoarding - Artwork to be provided by client </t>
  </si>
  <si>
    <t>[D-06] Supply &amp; install fire rated metal door with powder coated black painted corrugated cladding with all necessory ironmongery, accessories, archtraves &amp; Frames
Size: 1100mm(length) x 2450mm(height)
Location: Kitchen</t>
  </si>
  <si>
    <t xml:space="preserve">Supply &amp; install Manual Pulley system for each 5 lights.              (L-01-Type 1) lights </t>
  </si>
  <si>
    <t xml:space="preserve">[L-01] Supply &amp; install pendant industrial light at play area.        (Type 1) - 6000k @ 200w </t>
  </si>
  <si>
    <t xml:space="preserve"> Supply and apply 30MM thick cement plaster  on existing hollow block partitions where needed  </t>
  </si>
  <si>
    <t>[F-03] Supply and fixing of 600x600mm non slip concrete finish dark  grey porcelain floor tiles with tile adhesive and tile grout as per approved Design. Make: RAK cermic or similar
Location: Kitchen</t>
  </si>
  <si>
    <t>‏15</t>
  </si>
  <si>
    <t>‏1365</t>
  </si>
  <si>
    <t>‏109</t>
  </si>
  <si>
    <t>‏38</t>
  </si>
  <si>
    <t>‏15.1</t>
  </si>
  <si>
    <t>‏15.2</t>
  </si>
  <si>
    <t>‏15.3</t>
  </si>
  <si>
    <t>‏15.4</t>
  </si>
  <si>
    <t>‏15.5</t>
  </si>
  <si>
    <t>‏15.6</t>
  </si>
  <si>
    <t>‏15.7</t>
  </si>
  <si>
    <t>‏15.8</t>
  </si>
  <si>
    <t>‏102</t>
  </si>
  <si>
    <t>‏15.9</t>
  </si>
  <si>
    <t>‏15.10</t>
  </si>
  <si>
    <t>‏15.11</t>
  </si>
  <si>
    <t>‏15.12</t>
  </si>
  <si>
    <t>‏15.13</t>
  </si>
  <si>
    <t>‏15.14</t>
  </si>
  <si>
    <t>‏15.15</t>
  </si>
  <si>
    <t xml:space="preserve">Testing &amp; comissioning </t>
  </si>
  <si>
    <t>combination flow bar diffuser 1 slot, 40mm-18053mm(L),     2000 s + 2000R</t>
  </si>
  <si>
    <t xml:space="preserve">Interface new AC &amp; HVAC units with mall BMS </t>
  </si>
  <si>
    <t xml:space="preserve">Fire Damper: </t>
  </si>
  <si>
    <t xml:space="preserve">Sub Total - AC &amp; HVAC Works </t>
  </si>
  <si>
    <t>EXISTING of 1200A electrical MDB as per Authority standards including all accessories and mounting.</t>
  </si>
  <si>
    <t>Supply &amp; installation of FACP (Validate onsite)</t>
  </si>
  <si>
    <t xml:space="preserve">Supply &amp; installation of new smoke detectors </t>
  </si>
  <si>
    <t>Supply of  Attested &amp; warranty certificates</t>
  </si>
  <si>
    <t>Relocation of existing Fire hose cabinet with required piping</t>
  </si>
  <si>
    <t xml:space="preserve">Supply &amp; install Fire suppression system below the hood - including 3 Nozzles </t>
  </si>
  <si>
    <t xml:space="preserve">Supply &amp; install Pump for drain to connect to nearest drain provision point </t>
  </si>
  <si>
    <t xml:space="preserve">Civil works needed for running drain pipes </t>
  </si>
  <si>
    <t xml:space="preserve">AC &amp; HVAC works </t>
  </si>
  <si>
    <t xml:space="preserve">Structural &amp; Steel Works </t>
  </si>
  <si>
    <t>EXISTING of 800A electrical SMDB-PU as per Authority  standards including all accessories and mounting.</t>
  </si>
  <si>
    <t xml:space="preserve"> Existing MDB to Electrical room including provision for installation on wall, electrical trays and mountings (Validate onsite)</t>
  </si>
  <si>
    <t>Provide 20mm all conducting to be PVC conduit, 1.5mm2 wiring &amp; installation of ceiling lights as per mall specification. Light fixtures measured separately.</t>
  </si>
  <si>
    <t>Provide 25mm PVC conduit, 4mm2 wiring, supply and installation of  13A single switch sockets as per mall Specification as per layout</t>
  </si>
  <si>
    <t>Provide 25mm PVC conduit, 4mm2 wiring, supply and installation of  13A double switch sockets as per mall Specification as per layout</t>
  </si>
  <si>
    <t>Provide 25mm PVC conduit, 4mm2 wiring, supply and installation of  13A single switch sockets ( Floor box) as per mall Specification as per layout</t>
  </si>
  <si>
    <t>Provide 25mm PVC conduit, 4mm2 wiring, supply and installation of 13A double switch W/Proof sockets as per mall Specification as per layout</t>
  </si>
  <si>
    <t>Provide 25mm PVC conduit, 4mm2 wiring, supply and installation of 15A single switch sockets W/P as per mall Specification as per layout</t>
  </si>
  <si>
    <t>Provide 25mm PVC conduit, 4mm2 wiring, supply and installation of Spur outlet with DP switch for insect killer and led light as per mall Specification as per layout</t>
  </si>
  <si>
    <t>Provide 20mm PVC conduit, 4mm2 wiring, Power supply for FCU with isolator located near to unit as per DEWA Specification.</t>
  </si>
  <si>
    <t xml:space="preserve">Provide 20mm PVC conduit, 4mm2 wiring, Power supply for Signage with timer as per mall Specification. </t>
  </si>
  <si>
    <t>Provide Megger test</t>
  </si>
  <si>
    <t xml:space="preserve">Provide Live test by third party </t>
  </si>
  <si>
    <t>Modification of 160A electrical SMDB-ac as per Emaar guidelines and DEWA standards including all accessories and mounting.</t>
  </si>
  <si>
    <t>Modification of 63A electrical DB-04 as per Emaar guidelines and DEWA standards including all accessories and mounting.</t>
  </si>
  <si>
    <r>
      <t xml:space="preserve">Supply and installation of XLPE/SWA/PVC </t>
    </r>
    <r>
      <rPr>
        <b/>
        <sz val="11"/>
        <rFont val="Calibri"/>
        <family val="2"/>
      </rPr>
      <t>4Cx6MM2</t>
    </r>
    <r>
      <rPr>
        <sz val="11"/>
        <rFont val="Calibri"/>
        <family val="2"/>
      </rPr>
      <t xml:space="preserve"> Armoured cable and </t>
    </r>
    <r>
      <rPr>
        <b/>
        <sz val="11"/>
        <rFont val="Calibri"/>
        <family val="2"/>
      </rPr>
      <t>1Cx6MM</t>
    </r>
    <r>
      <rPr>
        <sz val="11"/>
        <rFont val="Calibri"/>
        <family val="2"/>
      </rPr>
      <t xml:space="preserve"> earth cable from DB to </t>
    </r>
    <r>
      <rPr>
        <b/>
        <sz val="11"/>
        <rFont val="Calibri"/>
        <family val="2"/>
      </rPr>
      <t>DX-OD-01</t>
    </r>
    <r>
      <rPr>
        <sz val="11"/>
        <rFont val="Calibri"/>
        <family val="2"/>
      </rPr>
      <t xml:space="preserve"> including cleats and cable tray</t>
    </r>
  </si>
  <si>
    <r>
      <t xml:space="preserve">Supply and installation of XLPE/SWA/PVC </t>
    </r>
    <r>
      <rPr>
        <b/>
        <sz val="11"/>
        <rFont val="Calibri"/>
        <family val="2"/>
      </rPr>
      <t>4Cx6MM2</t>
    </r>
    <r>
      <rPr>
        <sz val="11"/>
        <rFont val="Calibri"/>
        <family val="2"/>
      </rPr>
      <t xml:space="preserve"> Armoured cable and </t>
    </r>
    <r>
      <rPr>
        <b/>
        <sz val="11"/>
        <rFont val="Calibri"/>
        <family val="2"/>
      </rPr>
      <t>1Cx6MM</t>
    </r>
    <r>
      <rPr>
        <sz val="11"/>
        <rFont val="Calibri"/>
        <family val="2"/>
      </rPr>
      <t xml:space="preserve"> earth cable from DB to </t>
    </r>
    <r>
      <rPr>
        <b/>
        <sz val="11"/>
        <rFont val="Calibri"/>
        <family val="2"/>
      </rPr>
      <t>DX-OD-02</t>
    </r>
    <r>
      <rPr>
        <sz val="11"/>
        <rFont val="Calibri"/>
        <family val="2"/>
      </rPr>
      <t xml:space="preserve"> including cleats and cable tray</t>
    </r>
  </si>
  <si>
    <r>
      <t xml:space="preserve">Supply and installation of XLPE/SWA/PVC </t>
    </r>
    <r>
      <rPr>
        <b/>
        <sz val="11"/>
        <rFont val="Calibri"/>
        <family val="2"/>
      </rPr>
      <t>4Cx6MM2</t>
    </r>
    <r>
      <rPr>
        <sz val="11"/>
        <rFont val="Calibri"/>
        <family val="2"/>
      </rPr>
      <t xml:space="preserve"> Armoured cable and </t>
    </r>
    <r>
      <rPr>
        <b/>
        <sz val="11"/>
        <rFont val="Calibri"/>
        <family val="2"/>
      </rPr>
      <t>1Cx6MM</t>
    </r>
    <r>
      <rPr>
        <sz val="11"/>
        <rFont val="Calibri"/>
        <family val="2"/>
      </rPr>
      <t xml:space="preserve"> earth cable from DB to </t>
    </r>
    <r>
      <rPr>
        <b/>
        <sz val="11"/>
        <rFont val="Calibri"/>
        <family val="2"/>
      </rPr>
      <t>DX-OD-03</t>
    </r>
    <r>
      <rPr>
        <sz val="11"/>
        <rFont val="Calibri"/>
        <family val="2"/>
      </rPr>
      <t xml:space="preserve"> including cleats and cable tray</t>
    </r>
  </si>
  <si>
    <r>
      <t xml:space="preserve">Provision for removal, supply and installation of </t>
    </r>
    <r>
      <rPr>
        <b/>
        <sz val="11"/>
        <color rgb="FF000000"/>
        <rFont val="Aptos Narrow"/>
        <family val="2"/>
        <scheme val="minor"/>
      </rPr>
      <t xml:space="preserve">ONLY </t>
    </r>
    <r>
      <rPr>
        <sz val="11"/>
        <color rgb="FF000000"/>
        <rFont val="Aptos Narrow"/>
        <family val="2"/>
        <scheme val="minor"/>
      </rPr>
      <t xml:space="preserve">fire rated gypsum board for the periphery wall cladding </t>
    </r>
    <r>
      <rPr>
        <b/>
        <sz val="11"/>
        <color rgb="FF000000"/>
        <rFont val="Aptos Narrow"/>
        <family val="2"/>
        <scheme val="minor"/>
      </rPr>
      <t xml:space="preserve">(FRAMING IS ALREADY EXISTING ON SITE) </t>
    </r>
    <r>
      <rPr>
        <sz val="11"/>
        <color rgb="FF000000"/>
        <rFont val="Aptos Narrow"/>
        <family val="2"/>
        <scheme val="minor"/>
      </rPr>
      <t>where branding is existing on the previous tenant
Size:
98 x 4.7M
162 x 8.48M</t>
    </r>
  </si>
  <si>
    <t xml:space="preserve"> Supply and installation of 150MM wall partition  made with 12.5mm thick fire-rated gypsum board on both sides of G.I frame above the existing gypsum wall</t>
  </si>
  <si>
    <t xml:space="preserve">Supply and installation of 150MM hollow block partitions (For kitchen)
</t>
  </si>
  <si>
    <t xml:space="preserve">Supply and installation of 150MM lintel beam including 6mm steel bars
</t>
  </si>
  <si>
    <t xml:space="preserve">Supply and installation of 150MM wall made with 12.5mm thick fire-rated gypsum board on both sides of G.I frame above the block work up to slab </t>
  </si>
  <si>
    <t>Supply and installation of 150MM internal dry wall partitions with one layer of 12.5mm thick fire-rated gypsum board on both sides of GI frame (party rooms &amp; storage inside office)</t>
  </si>
  <si>
    <t>PICTURES / NOTES</t>
  </si>
  <si>
    <t>Provision for maintaining existing ceramic tiles at the toilets, office, storage, janitor rooms, first aid room, staff room flooring (Quantity to be checked on site)</t>
  </si>
  <si>
    <t>[W-07] provision for  maintaining existing ceramic tiles at the toilets, office, storage, janitor rooms, first aid room, staff room including s.s corners (Quantity to be checked on site)</t>
  </si>
  <si>
    <t>Provision for floor and wall protection of the existing items remaining on site from previous tenant</t>
  </si>
  <si>
    <t>[W-02] Supply and installation of 10MM Laminated Safety Glass (3.6 x 3.7m)</t>
  </si>
  <si>
    <t>Provision to relocate existing  polycarbonate shutter door including accessories and motor- including needed maintenance if required 
Size:
6 x 2.5m</t>
  </si>
  <si>
    <t>Supply &amp; install gypsum bulkhead for shutter door motor including steel support and paint &amp; access door
Size:
6 x 1.15m</t>
  </si>
  <si>
    <t>[D-01] Maintain and repaint the existing doors - To validate during fit-out if any door needs to be changed completely
Location: First Aid RM, Corridor, Janitors, Storage RM</t>
  </si>
  <si>
    <t>[D-02] Maintain and repaint the existing doors - To validate during fit-out if any door needs to be changed completely
Location: Female Toilet</t>
  </si>
  <si>
    <t>[D-03] Maintain and repaint the existing doors - To validate during fit-out if any door needs to be changed completely
Location: Male Toilet</t>
  </si>
  <si>
    <r>
      <t>[D-04]</t>
    </r>
    <r>
      <rPr>
        <b/>
        <sz val="11"/>
        <color rgb="FF000000"/>
        <rFont val="Aptos Narrow"/>
        <family val="2"/>
        <scheme val="minor"/>
      </rPr>
      <t xml:space="preserve"> </t>
    </r>
    <r>
      <rPr>
        <sz val="11"/>
        <color rgb="FF000000"/>
        <rFont val="Aptos Narrow"/>
        <family val="2"/>
        <scheme val="minor"/>
      </rPr>
      <t>Maintain and repaint the existing doors - To validate during fit-out if any door needs to be changed completely
Location: Corridor</t>
    </r>
  </si>
  <si>
    <r>
      <t xml:space="preserve">[D-05] Supply &amp; install of </t>
    </r>
    <r>
      <rPr>
        <b/>
        <sz val="11"/>
        <color rgb="FF000000"/>
        <rFont val="Aptos Narrow"/>
        <family val="2"/>
        <scheme val="minor"/>
      </rPr>
      <t>NEW</t>
    </r>
    <r>
      <rPr>
        <sz val="11"/>
        <color rgb="FF000000"/>
        <rFont val="Aptos Narrow"/>
        <family val="2"/>
        <scheme val="minor"/>
      </rPr>
      <t xml:space="preserve"> fire rated single swing leaf solid wooden door with all necessory ironmongery, accessories, archtraves &amp; Frames- to confirm with client
Size: 1100mm(length) x 2200mm(height)
Location: Storage, Staff, Office</t>
    </r>
  </si>
  <si>
    <t xml:space="preserve">[D-09] Maintain and repaint the existing doors - To validate during fit-out if any door needs to be changed completely
Location: Electrical room </t>
  </si>
  <si>
    <t>Supply &amp; install toilet sink for male and female toilet</t>
  </si>
  <si>
    <t>Supply &amp; install sensor mixer (battery operated) for male and female toilet</t>
  </si>
  <si>
    <t>Supply &amp; install soap dispenser for male and female toilet</t>
  </si>
  <si>
    <t>Provision for maintanance of existing sanitary such as toilets seats, shattaf, air dryer. Incase items cannot be maintain it will be changed and to consider as additional works</t>
  </si>
  <si>
    <t>Supply &amp; install new mirrors for male and female toilet</t>
  </si>
  <si>
    <t>Toilet paper rolls existing</t>
  </si>
  <si>
    <t>Janitor floor sink existing, to maintain if there are leaks &amp; clogs</t>
  </si>
  <si>
    <r>
      <t xml:space="preserve">Supply and installation of </t>
    </r>
    <r>
      <rPr>
        <b/>
        <u/>
        <sz val="11"/>
        <color rgb="FF000000"/>
        <rFont val="Aptos Narrow"/>
        <family val="2"/>
        <scheme val="minor"/>
      </rPr>
      <t>High performance-Jumpbox</t>
    </r>
    <r>
      <rPr>
        <sz val="11"/>
        <color rgb="FF000000"/>
        <rFont val="Aptos Narrow"/>
        <family val="2"/>
        <scheme val="minor"/>
      </rPr>
      <t xml:space="preserve"> as per as per steel drawings of play area'' including Acrylic Jump box - 20MM acrylic thickness - Size: 5.18 x 3 x 1.5 M </t>
    </r>
  </si>
  <si>
    <t>Supply &amp; apply double waterproof membrane with 10 years warranty certificate (Kitchen, backbar) with upstand up to 1200MM on walls *TO NOTE* Janitor and Toilet waterproofing are existing and if required by the mall it will be considered as variation</t>
  </si>
  <si>
    <t>Supply &amp; Apply 15cm screed including 6mm mesh steel *To be validated with mall management</t>
  </si>
  <si>
    <t>Supply &amp; install 12MM calcium silicate cladding on perimeter wall to hold tiles - framing every 40cm-  Location: Kitchen, back bar &amp; party rooms</t>
  </si>
  <si>
    <t xml:space="preserve">[C-01] provision for touch up  Black Fenomastic paint on existing soffit slab
Location: Open Ceiling (RAL 9005)- Jotun Paints </t>
  </si>
  <si>
    <t xml:space="preserve">Supply and apply black paint on MEP services (Ducts, conduits pipes…etc) - Except Fire alarm and fire fighting devices &amp; pipes - Jotun paints </t>
  </si>
  <si>
    <t xml:space="preserve">[C-02] Supply and apply of Snow White Fenomastic paint (staff, office, janitors, etc)
 (RAL 5001)- Jotun paints </t>
  </si>
  <si>
    <t xml:space="preserve">[C-02] Supply &amp; install  12MM fire rated gypsum ceiling on (staff room, office, janitors, electrical room, etc) - validate onsite)
 </t>
  </si>
  <si>
    <t>[C-04] Supply &amp; install  12MM fire rated gypsum ceiling with design   - Location: Party rooms</t>
  </si>
  <si>
    <t>Provision for Supply and installation of fire rated gypsum cladding on existing perimeter walls with 12.5mm thick fire-rated gypsum board and GI frames every 40cm (on the parts where there is existing room from the previous tenant and will be fully cladded up to ceiling on the proposed drawing</t>
  </si>
  <si>
    <t>Provision to touch up of gypsum board cladding with 12.5MM FR gypsum board where it is broken by the previous tenant or it will be broken to pull new MEP services based on proposed drawings</t>
  </si>
  <si>
    <t>[C-03] Supply and apply of Jotun Snow White Fenomastic paint on existing concrete slab- Validate onsite
Location: Electrical Room (RAL 5001)- Jotun paint</t>
  </si>
  <si>
    <t xml:space="preserve">Replace the existing smoke management roof openings with 15MM tempered glass including maintenance of the existing smoke system mechanism  </t>
  </si>
  <si>
    <t xml:space="preserve">[L-09] Supply &amp; install pendant industrial light below Funlandia structure .  (Type 1) - 6000k @ 100w </t>
  </si>
  <si>
    <t>Supply, fabrication and installation of MS  ducts for   kitchen air duct, with all its fittings, supports and accessories. As per the new proposed layout requirements including round dropper for diffuser</t>
  </si>
  <si>
    <t xml:space="preserve">Supply &amp; install Concrete Foundation on roof for new HVAC units </t>
  </si>
  <si>
    <t xml:space="preserve">Supply &amp; install  PVC Conduit &amp; Wiring CAT 6 Cable for the CCTV &amp; Data (Excluded- CCTV devices  &amp; DATA termination to be provided by client supplier) including conduits for sound system </t>
  </si>
  <si>
    <t xml:space="preserve">Supply &amp; installation of Emergency light </t>
  </si>
  <si>
    <t xml:space="preserve">Maintenance of existing Fire system at electrical room </t>
  </si>
  <si>
    <t>Co-ordination &amp; submission of all needed drawings for obtaining approvals from Landlord</t>
  </si>
  <si>
    <t>[W-06] Supply &amp; install 5MM Corrugated Sheet powdercoated in jumping colors including accessories to fix to the wall</t>
  </si>
  <si>
    <t>[H-01A] Supply &amp; installation of Hanging Ceiling Arrow ''Décor 1'' in Powdercoated Steel Frame painted in jumping colors including accessories including bolts, hinges, etc.., to fasten on wall, floor or ceiling</t>
  </si>
  <si>
    <t>[H-01B] Supply &amp; installation of Hanging Ceiling Arrow ''Décor 2'' in Powdercoated Steel Frame painted in jumping colors including accessories including bolts, hinges, etc.., to fasten on wall, floor or ceiling</t>
  </si>
  <si>
    <t>[H-01C] Supply &amp; installation of Hanging Ceiling Arrow ''Décor 3'' in Powdercoated Steel Frame painted in jumping colors including accessories including bolts, hinges, etc.., to fasten on wall, floor or ceiling</t>
  </si>
  <si>
    <t>[H-02] Supply &amp; installation of Hanging Ceiling Arrow in Powdercoated Steel Frame painted in jumping colors including accessories including bolts, hinges, etc.., to fasten on wall, floor or ceiling</t>
  </si>
  <si>
    <t>[H-03] Supply &amp; installation of Hanging Ceiling Arrow in Powdercoated Steel Frame powdercoated in jumping colors including accessories including bolts, hinges, etc.., to fasten on wall, floor or ceiling</t>
  </si>
  <si>
    <t>[SIGNAGE 01] Supply and installation of jumping LED acrylic signage in English &amp; Arabic @35mm thick with backlit 4000k - location main facade / entrance  
Size: 
7.3 x 0.85 Meter</t>
  </si>
  <si>
    <t>[SIGNAGE 04] Supply and installation of jumping lighted acrylic signage for welcome banner
Size:
3530x580x35mm</t>
  </si>
  <si>
    <t>[SIGNAGE 05] Supply and installation of jumping lighted acrylic signage for party room
Size:
2143x431x35mm</t>
  </si>
  <si>
    <t>Supply &amp; install with full proper welding all steel tubes (100x100 - 80x80 - 50x50 - 40x40) needed for the different level of the  ''RAISED FLOOR OF THE PLAY AREA'' as per proposed steel drawings including (200X200 MM- 300X300 MM- 400X400 MM Steel plates to weld all steel tubes for raised area) + 18MM plywood / industrial fire rated wood sheets to cover all play area floor (jumping + Mini jumping area) +  Steel tubes required for net posts + net accessories &amp; installation + ramps &amp; staircases</t>
  </si>
  <si>
    <t xml:space="preserve"> TOTAL OF FIT OUT WORKS - jumping Red Sea Mall</t>
  </si>
  <si>
    <t xml:space="preserve">client will provide the tiles -installation only </t>
  </si>
  <si>
    <t>SAR</t>
  </si>
  <si>
    <t xml:space="preserve">LOCATION NOT CLEAR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</si>
</sst>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 #,##0.00_-;_-* &quot;-&quot;??_-;_-@_-"/>
    <numFmt numFmtId="165" formatCode="_(* #,##0_);_(* \(#,##0\);_(* &quot;-&quot;??_);_(@_)"/>
    <numFmt numFmtId="166" formatCode="[$-2000401]0.#"/>
  </numFmts>
  <fonts count="23">
    <font>
      <sz val="11"/>
      <color theme="1"/>
      <name val="Aptos Narrow"/>
      <family val="2"/>
      <scheme val="minor"/>
    </font>
    <font>
      <sz val="11"/>
      <color theme="1"/>
      <name val="Aptos Narrow"/>
      <family val="2"/>
      <scheme val="minor"/>
    </font>
    <font>
      <b/>
      <sz val="11"/>
      <name val="Aptos Narrow"/>
      <family val="2"/>
      <scheme val="minor"/>
    </font>
    <font>
      <sz val="11"/>
      <color rgb="FF000000"/>
      <name val="Aptos Narrow"/>
      <family val="2"/>
      <scheme val="minor"/>
    </font>
    <font>
      <b/>
      <sz val="11"/>
      <color rgb="FF000000"/>
      <name val="Aptos Narrow"/>
      <family val="2"/>
      <scheme val="minor"/>
    </font>
    <font>
      <sz val="11"/>
      <name val="Aptos Narrow"/>
      <family val="2"/>
      <scheme val="minor"/>
    </font>
    <font>
      <sz val="11"/>
      <color theme="1"/>
      <name val="Arial"/>
      <family val="2"/>
    </font>
    <font>
      <sz val="11"/>
      <color rgb="FF000000"/>
      <name val="Calibri"/>
      <family val="2"/>
    </font>
    <font>
      <sz val="11"/>
      <color rgb="FF000000"/>
      <name val="Calibri"/>
      <family val="2"/>
      <charset val="204"/>
    </font>
    <font>
      <sz val="10"/>
      <color rgb="FF000000"/>
      <name val="Times New Roman"/>
      <family val="1"/>
    </font>
    <font>
      <sz val="10"/>
      <name val="Arial"/>
      <family val="2"/>
    </font>
    <font>
      <sz val="11"/>
      <color rgb="FF000000"/>
      <name val="Calibri"/>
      <family val="2"/>
    </font>
    <font>
      <sz val="11"/>
      <color rgb="FFFFC000"/>
      <name val="Aptos Narrow"/>
      <family val="2"/>
      <scheme val="minor"/>
    </font>
    <font>
      <sz val="8"/>
      <name val="Aptos Narrow"/>
      <family val="2"/>
      <scheme val="minor"/>
    </font>
    <font>
      <b/>
      <u/>
      <sz val="11"/>
      <color rgb="FF000000"/>
      <name val="Aptos Narrow"/>
      <family val="2"/>
      <scheme val="minor"/>
    </font>
    <font>
      <b/>
      <sz val="11"/>
      <color rgb="FF000000"/>
      <name val="Calibri"/>
      <family val="2"/>
    </font>
    <font>
      <sz val="11"/>
      <name val="Calibri"/>
      <family val="2"/>
    </font>
    <font>
      <sz val="11"/>
      <name val="Calibri"/>
      <family val="2"/>
    </font>
    <font>
      <b/>
      <sz val="11"/>
      <name val="Calibri"/>
      <family val="2"/>
    </font>
    <font>
      <sz val="11"/>
      <color rgb="FF000000"/>
      <name val="Calibri"/>
      <family val="2"/>
    </font>
    <font>
      <b/>
      <sz val="11"/>
      <color rgb="FF000000"/>
      <name val="Aptos Narrow"/>
      <family val="2"/>
      <scheme val="minor"/>
    </font>
    <font>
      <sz val="11"/>
      <color rgb="FF00B050"/>
      <name val="Aptos Narrow"/>
      <family val="2"/>
      <scheme val="minor"/>
    </font>
    <font>
      <b/>
      <sz val="11"/>
      <color theme="1"/>
      <name val="Aptos Narrow"/>
      <family val="2"/>
      <scheme val="minor"/>
    </font>
  </fonts>
  <fills count="9">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9999"/>
        <bgColor indexed="64"/>
      </patternFill>
    </fill>
    <fill>
      <patternFill patternType="solid">
        <fgColor rgb="FFFFFFFF"/>
        <bgColor rgb="FF000000"/>
      </patternFill>
    </fill>
    <fill>
      <patternFill patternType="solid">
        <fgColor rgb="FFD9D9D9"/>
        <bgColor rgb="FF000000"/>
      </patternFill>
    </fill>
    <fill>
      <patternFill patternType="solid">
        <fgColor rgb="FFF2F2F2"/>
        <bgColor rgb="FF000000"/>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505050"/>
      </left>
      <right style="thin">
        <color rgb="FF505050"/>
      </right>
      <top style="thin">
        <color rgb="FF505050"/>
      </top>
      <bottom style="thin">
        <color rgb="FF50505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rgb="FF505050"/>
      </bottom>
      <diagonal/>
    </border>
    <border>
      <left style="thin">
        <color auto="1"/>
      </left>
      <right/>
      <top/>
      <bottom style="thin">
        <color auto="1"/>
      </bottom>
      <diagonal/>
    </border>
    <border>
      <left/>
      <right/>
      <top/>
      <bottom style="thin">
        <color auto="1"/>
      </bottom>
      <diagonal/>
    </border>
    <border>
      <left style="thin">
        <color indexed="64"/>
      </left>
      <right/>
      <top style="thin">
        <color indexed="64"/>
      </top>
      <bottom/>
      <diagonal/>
    </border>
    <border>
      <left style="thin">
        <color indexed="64"/>
      </left>
      <right/>
      <top/>
      <bottom/>
      <diagonal/>
    </border>
    <border>
      <left style="thin">
        <color rgb="FF505050"/>
      </left>
      <right/>
      <top style="thin">
        <color rgb="FF505050"/>
      </top>
      <bottom style="thin">
        <color rgb="FF505050"/>
      </bottom>
      <diagonal/>
    </border>
  </borders>
  <cellStyleXfs count="25">
    <xf numFmtId="0" fontId="0" fillId="0" borderId="0"/>
    <xf numFmtId="164" fontId="1" fillId="0" borderId="0" applyFont="0" applyFill="0" applyBorder="0" applyAlignment="0" applyProtection="0"/>
    <xf numFmtId="0" fontId="8" fillId="0" borderId="0"/>
    <xf numFmtId="0" fontId="9" fillId="0" borderId="0"/>
    <xf numFmtId="0" fontId="10"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0" fillId="0" borderId="0"/>
    <xf numFmtId="0" fontId="1" fillId="0" borderId="0"/>
    <xf numFmtId="164" fontId="8" fillId="0" borderId="0" applyFont="0" applyFill="0" applyBorder="0" applyAlignment="0" applyProtection="0"/>
    <xf numFmtId="0" fontId="1" fillId="0" borderId="0"/>
    <xf numFmtId="164" fontId="1" fillId="0" borderId="0" applyFont="0" applyFill="0" applyBorder="0" applyAlignment="0" applyProtection="0"/>
    <xf numFmtId="0" fontId="11" fillId="0" borderId="0"/>
    <xf numFmtId="164" fontId="7" fillId="0" borderId="0" applyFont="0" applyFill="0" applyBorder="0" applyAlignment="0" applyProtection="0"/>
    <xf numFmtId="164" fontId="8" fillId="0" borderId="0" applyFont="0" applyFill="0" applyBorder="0" applyAlignment="0" applyProtection="0"/>
    <xf numFmtId="164" fontId="1" fillId="0" borderId="0" applyFont="0" applyFill="0" applyBorder="0" applyAlignment="0" applyProtection="0"/>
    <xf numFmtId="164" fontId="7" fillId="0" borderId="0" applyFont="0" applyFill="0" applyBorder="0" applyAlignment="0" applyProtection="0"/>
    <xf numFmtId="164" fontId="8" fillId="0" borderId="0" applyFont="0" applyFill="0" applyBorder="0" applyAlignment="0" applyProtection="0"/>
    <xf numFmtId="164" fontId="1" fillId="0" borderId="0" applyFont="0" applyFill="0" applyBorder="0" applyAlignment="0" applyProtection="0"/>
    <xf numFmtId="164" fontId="7" fillId="0" borderId="0" applyFont="0" applyFill="0" applyBorder="0" applyAlignment="0" applyProtection="0"/>
    <xf numFmtId="0" fontId="7" fillId="0" borderId="0"/>
    <xf numFmtId="164" fontId="7" fillId="0" borderId="0" applyFont="0" applyFill="0" applyBorder="0" applyAlignment="0" applyProtection="0"/>
    <xf numFmtId="164" fontId="8" fillId="0" borderId="0" applyFont="0" applyFill="0" applyBorder="0" applyAlignment="0" applyProtection="0"/>
    <xf numFmtId="164" fontId="1" fillId="0" borderId="0" applyFont="0" applyFill="0" applyBorder="0" applyAlignment="0" applyProtection="0"/>
  </cellStyleXfs>
  <cellXfs count="197">
    <xf numFmtId="0" fontId="0" fillId="0" borderId="0" xfId="0"/>
    <xf numFmtId="0" fontId="3" fillId="0" borderId="1" xfId="0" applyFont="1" applyBorder="1" applyAlignment="1">
      <alignment vertical="center" wrapText="1"/>
    </xf>
    <xf numFmtId="164" fontId="3" fillId="2" borderId="1" xfId="1" applyFont="1" applyFill="1" applyBorder="1" applyAlignment="1">
      <alignment horizontal="center" vertical="center"/>
    </xf>
    <xf numFmtId="164" fontId="3" fillId="0" borderId="1" xfId="1" applyFont="1" applyFill="1" applyBorder="1" applyAlignment="1">
      <alignment horizontal="center" vertical="center"/>
    </xf>
    <xf numFmtId="2" fontId="3" fillId="0" borderId="1" xfId="0" applyNumberFormat="1" applyFont="1" applyBorder="1" applyAlignment="1">
      <alignment horizontal="center" vertical="center"/>
    </xf>
    <xf numFmtId="0" fontId="3" fillId="0" borderId="1" xfId="0" applyFont="1" applyBorder="1" applyAlignment="1">
      <alignment horizontal="center" vertical="center"/>
    </xf>
    <xf numFmtId="164" fontId="3" fillId="0" borderId="1" xfId="1" applyFont="1" applyFill="1" applyBorder="1" applyAlignment="1">
      <alignment vertical="center"/>
    </xf>
    <xf numFmtId="0" fontId="3" fillId="0" borderId="1" xfId="0" applyFont="1" applyBorder="1" applyAlignment="1">
      <alignment horizontal="left" vertical="center" wrapText="1"/>
    </xf>
    <xf numFmtId="0" fontId="3" fillId="0" borderId="0" xfId="0" applyFont="1" applyAlignment="1">
      <alignment horizontal="center" vertical="center"/>
    </xf>
    <xf numFmtId="0" fontId="3" fillId="0" borderId="0" xfId="0" applyFont="1" applyAlignment="1">
      <alignment vertical="center" wrapText="1"/>
    </xf>
    <xf numFmtId="164" fontId="3" fillId="0" borderId="0" xfId="1" applyFont="1" applyAlignment="1">
      <alignment vertical="center"/>
    </xf>
    <xf numFmtId="0" fontId="6" fillId="0" borderId="1" xfId="0" applyFont="1" applyBorder="1" applyAlignment="1">
      <alignment vertical="center"/>
    </xf>
    <xf numFmtId="165" fontId="3" fillId="2" borderId="1" xfId="1" applyNumberFormat="1" applyFont="1" applyFill="1" applyBorder="1" applyAlignment="1">
      <alignment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left" vertical="center"/>
    </xf>
    <xf numFmtId="164" fontId="3" fillId="3" borderId="1" xfId="1" applyFont="1" applyFill="1" applyBorder="1" applyAlignment="1">
      <alignment horizontal="left" vertical="center"/>
    </xf>
    <xf numFmtId="164" fontId="3" fillId="0" borderId="1" xfId="1" applyFont="1" applyBorder="1" applyAlignment="1">
      <alignment horizontal="center" vertical="center"/>
    </xf>
    <xf numFmtId="0" fontId="3" fillId="0" borderId="1" xfId="0" applyFont="1" applyBorder="1" applyAlignment="1">
      <alignment horizontal="left" vertical="center"/>
    </xf>
    <xf numFmtId="164" fontId="2" fillId="0" borderId="1" xfId="1" applyFont="1" applyFill="1" applyBorder="1" applyAlignment="1">
      <alignment horizontal="center" vertical="center"/>
    </xf>
    <xf numFmtId="164" fontId="3" fillId="0" borderId="1" xfId="1" applyFont="1" applyBorder="1" applyAlignment="1">
      <alignment horizontal="left" vertical="center"/>
    </xf>
    <xf numFmtId="164" fontId="3" fillId="0" borderId="1" xfId="1" applyFont="1" applyBorder="1" applyAlignment="1">
      <alignment vertical="center"/>
    </xf>
    <xf numFmtId="164" fontId="3" fillId="0" borderId="1" xfId="1" applyFont="1" applyFill="1" applyBorder="1" applyAlignment="1">
      <alignment horizontal="center" vertical="center" wrapText="1"/>
    </xf>
    <xf numFmtId="0" fontId="3" fillId="0" borderId="1" xfId="0" applyFont="1" applyBorder="1" applyAlignment="1">
      <alignment horizontal="right" vertical="center"/>
    </xf>
    <xf numFmtId="164" fontId="4" fillId="0" borderId="1" xfId="1" applyFont="1" applyFill="1" applyBorder="1" applyAlignment="1">
      <alignment horizontal="right" vertical="center"/>
    </xf>
    <xf numFmtId="164" fontId="3" fillId="0" borderId="1" xfId="1" applyFont="1" applyFill="1" applyBorder="1" applyAlignment="1">
      <alignment horizontal="left" vertical="center"/>
    </xf>
    <xf numFmtId="0" fontId="0" fillId="4" borderId="0" xfId="0" applyFill="1"/>
    <xf numFmtId="0" fontId="5" fillId="4" borderId="0" xfId="0" applyFont="1" applyFill="1"/>
    <xf numFmtId="0" fontId="4" fillId="0" borderId="1" xfId="0" applyFont="1" applyBorder="1" applyAlignment="1">
      <alignment horizontal="righ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xf>
    <xf numFmtId="0" fontId="5" fillId="0" borderId="1" xfId="0" applyFont="1" applyBorder="1" applyAlignment="1">
      <alignment horizontal="center" vertical="center"/>
    </xf>
    <xf numFmtId="164" fontId="5" fillId="0" borderId="1" xfId="1" applyFont="1" applyFill="1" applyBorder="1" applyAlignment="1">
      <alignment vertical="center"/>
    </xf>
    <xf numFmtId="0" fontId="3" fillId="2" borderId="1" xfId="0" applyFont="1" applyFill="1" applyBorder="1" applyAlignment="1">
      <alignment horizontal="center" vertical="center" wrapText="1"/>
    </xf>
    <xf numFmtId="164" fontId="3" fillId="2" borderId="1" xfId="1" applyFont="1" applyFill="1" applyBorder="1" applyAlignment="1">
      <alignment horizontal="left" vertical="center"/>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164" fontId="3" fillId="0" borderId="1" xfId="0" applyNumberFormat="1" applyFont="1" applyBorder="1" applyAlignment="1">
      <alignment horizontal="center" vertical="center" wrapText="1"/>
    </xf>
    <xf numFmtId="164" fontId="3" fillId="0" borderId="1" xfId="0" applyNumberFormat="1" applyFont="1" applyBorder="1" applyAlignment="1">
      <alignment horizontal="right" vertical="center"/>
    </xf>
    <xf numFmtId="0" fontId="0" fillId="2" borderId="0" xfId="0" applyFill="1"/>
    <xf numFmtId="0" fontId="5" fillId="2" borderId="0" xfId="0" applyFont="1" applyFill="1"/>
    <xf numFmtId="0" fontId="4" fillId="2" borderId="1" xfId="0" applyFont="1" applyFill="1" applyBorder="1" applyAlignment="1">
      <alignment horizontal="center" vertical="center"/>
    </xf>
    <xf numFmtId="3" fontId="3" fillId="2" borderId="1" xfId="0" applyNumberFormat="1" applyFont="1" applyFill="1" applyBorder="1" applyAlignment="1">
      <alignment horizontal="center" vertical="center" wrapText="1"/>
    </xf>
    <xf numFmtId="0" fontId="3"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3" fillId="0" borderId="8" xfId="0" applyFont="1" applyBorder="1" applyAlignment="1">
      <alignment wrapText="1"/>
    </xf>
    <xf numFmtId="0" fontId="4" fillId="0" borderId="8" xfId="0" applyFont="1" applyBorder="1" applyAlignment="1">
      <alignment wrapText="1"/>
    </xf>
    <xf numFmtId="0" fontId="4" fillId="0" borderId="3" xfId="0" applyFont="1" applyBorder="1" applyAlignment="1">
      <alignment wrapText="1"/>
    </xf>
    <xf numFmtId="0" fontId="4" fillId="0" borderId="2" xfId="0" applyFont="1" applyBorder="1" applyAlignment="1">
      <alignment wrapText="1"/>
    </xf>
    <xf numFmtId="0" fontId="4" fillId="0" borderId="4" xfId="0" applyFont="1" applyBorder="1" applyAlignment="1">
      <alignment wrapText="1"/>
    </xf>
    <xf numFmtId="0" fontId="4" fillId="0" borderId="1" xfId="0" applyFont="1" applyBorder="1" applyAlignment="1">
      <alignment wrapText="1"/>
    </xf>
    <xf numFmtId="0" fontId="3" fillId="5" borderId="1" xfId="0" applyFont="1" applyFill="1" applyBorder="1" applyAlignment="1">
      <alignment wrapText="1"/>
    </xf>
    <xf numFmtId="0" fontId="3" fillId="7" borderId="1" xfId="0" applyFont="1" applyFill="1" applyBorder="1" applyAlignment="1">
      <alignment wrapText="1"/>
    </xf>
    <xf numFmtId="0" fontId="3" fillId="7" borderId="3" xfId="0" applyFont="1" applyFill="1" applyBorder="1" applyAlignment="1">
      <alignment wrapText="1"/>
    </xf>
    <xf numFmtId="0" fontId="20" fillId="7" borderId="1" xfId="0" applyFont="1" applyFill="1" applyBorder="1" applyAlignment="1">
      <alignment wrapText="1"/>
    </xf>
    <xf numFmtId="0" fontId="4" fillId="6" borderId="1" xfId="0" applyFont="1" applyFill="1" applyBorder="1" applyAlignment="1">
      <alignment wrapText="1"/>
    </xf>
    <xf numFmtId="0" fontId="3" fillId="5" borderId="3" xfId="0" applyFont="1" applyFill="1" applyBorder="1" applyAlignment="1">
      <alignment wrapText="1"/>
    </xf>
    <xf numFmtId="0" fontId="3" fillId="5" borderId="2" xfId="0" applyFont="1" applyFill="1" applyBorder="1" applyAlignment="1">
      <alignment wrapText="1"/>
    </xf>
    <xf numFmtId="0" fontId="3" fillId="5" borderId="4" xfId="0" applyFont="1" applyFill="1" applyBorder="1" applyAlignment="1">
      <alignment wrapText="1"/>
    </xf>
    <xf numFmtId="0" fontId="3" fillId="2" borderId="1" xfId="0" applyFont="1" applyFill="1" applyBorder="1" applyAlignment="1">
      <alignment wrapText="1"/>
    </xf>
    <xf numFmtId="0" fontId="3" fillId="0" borderId="6" xfId="0" applyFont="1" applyBorder="1" applyAlignment="1">
      <alignment horizontal="center" vertical="center"/>
    </xf>
    <xf numFmtId="164" fontId="3" fillId="2" borderId="6" xfId="1" applyFont="1" applyFill="1" applyBorder="1" applyAlignment="1">
      <alignment horizontal="center" vertical="center"/>
    </xf>
    <xf numFmtId="2" fontId="3" fillId="2" borderId="1" xfId="0" applyNumberFormat="1" applyFont="1" applyFill="1" applyBorder="1" applyAlignment="1">
      <alignment horizontal="center" vertical="center"/>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4" fontId="7" fillId="5" borderId="1" xfId="0" applyNumberFormat="1" applyFont="1" applyFill="1" applyBorder="1" applyAlignment="1">
      <alignment horizontal="center" vertical="center" wrapText="1"/>
    </xf>
    <xf numFmtId="0" fontId="7" fillId="0" borderId="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5" xfId="0" applyFont="1" applyBorder="1" applyAlignment="1">
      <alignment horizontal="center" vertical="center" wrapText="1"/>
    </xf>
    <xf numFmtId="0" fontId="7" fillId="5" borderId="5" xfId="0" applyFont="1" applyFill="1" applyBorder="1" applyAlignment="1">
      <alignment horizontal="center" vertical="center" wrapText="1"/>
    </xf>
    <xf numFmtId="0" fontId="0" fillId="0" borderId="6" xfId="0" applyBorder="1" applyAlignment="1">
      <alignment horizontal="center" vertical="center" wrapText="1"/>
    </xf>
    <xf numFmtId="0" fontId="0" fillId="5" borderId="6" xfId="0" applyFill="1" applyBorder="1" applyAlignment="1">
      <alignment horizontal="center" vertical="center" wrapText="1"/>
    </xf>
    <xf numFmtId="166" fontId="7" fillId="0" borderId="1" xfId="0" applyNumberFormat="1" applyFont="1" applyBorder="1" applyAlignment="1">
      <alignment horizontal="center" vertical="center" wrapText="1"/>
    </xf>
    <xf numFmtId="0" fontId="7" fillId="0" borderId="9" xfId="0" applyFont="1" applyBorder="1" applyAlignment="1">
      <alignment horizontal="center" vertical="center" wrapText="1"/>
    </xf>
    <xf numFmtId="0" fontId="7" fillId="0" borderId="4" xfId="0" applyFont="1" applyBorder="1" applyAlignment="1">
      <alignment wrapText="1"/>
    </xf>
    <xf numFmtId="0" fontId="7" fillId="0" borderId="10" xfId="0" applyFont="1" applyBorder="1" applyAlignment="1">
      <alignment wrapText="1"/>
    </xf>
    <xf numFmtId="0" fontId="7" fillId="0" borderId="11" xfId="0" applyFont="1" applyBorder="1" applyAlignment="1">
      <alignment wrapText="1"/>
    </xf>
    <xf numFmtId="0" fontId="7" fillId="0" borderId="6" xfId="0" applyFont="1" applyBorder="1" applyAlignment="1">
      <alignment horizontal="center" vertical="center" wrapText="1"/>
    </xf>
    <xf numFmtId="0" fontId="15" fillId="5" borderId="3" xfId="0" applyFont="1" applyFill="1" applyBorder="1" applyAlignment="1">
      <alignment horizontal="right" wrapText="1"/>
    </xf>
    <xf numFmtId="0" fontId="15" fillId="5" borderId="2" xfId="0" applyFont="1" applyFill="1" applyBorder="1" applyAlignment="1">
      <alignment horizontal="right" wrapText="1"/>
    </xf>
    <xf numFmtId="0" fontId="15" fillId="5" borderId="4" xfId="0" applyFont="1" applyFill="1" applyBorder="1" applyAlignment="1">
      <alignment horizontal="right" wrapText="1"/>
    </xf>
    <xf numFmtId="0" fontId="16" fillId="2" borderId="1" xfId="0" applyFont="1" applyFill="1" applyBorder="1" applyAlignment="1">
      <alignment horizontal="center" vertical="center" wrapText="1"/>
    </xf>
    <xf numFmtId="0" fontId="16" fillId="2" borderId="1" xfId="0" applyFont="1" applyFill="1" applyBorder="1" applyAlignment="1">
      <alignment wrapText="1"/>
    </xf>
    <xf numFmtId="0" fontId="17"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6" fillId="2" borderId="5" xfId="0" applyFont="1" applyFill="1" applyBorder="1" applyAlignment="1">
      <alignment wrapText="1"/>
    </xf>
    <xf numFmtId="0" fontId="17" fillId="2"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wrapText="1"/>
    </xf>
    <xf numFmtId="0" fontId="3" fillId="5" borderId="1" xfId="0" applyFont="1" applyFill="1" applyBorder="1" applyAlignment="1">
      <alignment horizontal="center" vertical="center" wrapText="1"/>
    </xf>
    <xf numFmtId="0" fontId="3" fillId="0" borderId="8" xfId="0" applyFont="1" applyBorder="1" applyAlignment="1">
      <alignment horizontal="center" vertical="center" wrapText="1"/>
    </xf>
    <xf numFmtId="2" fontId="3" fillId="5" borderId="1" xfId="0" applyNumberFormat="1"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5" borderId="9" xfId="0" applyFont="1" applyFill="1" applyBorder="1" applyAlignment="1">
      <alignment horizontal="center" wrapText="1"/>
    </xf>
    <xf numFmtId="0" fontId="3" fillId="0" borderId="9" xfId="0" applyFont="1" applyBorder="1" applyAlignment="1">
      <alignment horizontal="center" vertical="center"/>
    </xf>
    <xf numFmtId="0" fontId="4" fillId="0" borderId="9" xfId="0" applyFont="1" applyBorder="1" applyAlignment="1">
      <alignment wrapText="1"/>
    </xf>
    <xf numFmtId="0" fontId="3" fillId="5" borderId="5" xfId="0" applyFont="1" applyFill="1" applyBorder="1" applyAlignment="1">
      <alignment horizontal="center" wrapText="1"/>
    </xf>
    <xf numFmtId="0" fontId="3" fillId="7" borderId="5" xfId="0" applyFont="1" applyFill="1" applyBorder="1" applyAlignment="1">
      <alignment wrapText="1"/>
    </xf>
    <xf numFmtId="0" fontId="4" fillId="0" borderId="13" xfId="0" applyFont="1" applyBorder="1" applyAlignment="1">
      <alignment wrapText="1"/>
    </xf>
    <xf numFmtId="0" fontId="4" fillId="0" borderId="14" xfId="0" applyFont="1" applyBorder="1" applyAlignment="1">
      <alignment wrapText="1"/>
    </xf>
    <xf numFmtId="0" fontId="4" fillId="0" borderId="11" xfId="0" applyFont="1" applyBorder="1" applyAlignment="1">
      <alignment wrapText="1"/>
    </xf>
    <xf numFmtId="0" fontId="3" fillId="2" borderId="9" xfId="0" applyFont="1" applyFill="1" applyBorder="1" applyAlignment="1">
      <alignment wrapText="1"/>
    </xf>
    <xf numFmtId="0" fontId="3" fillId="2"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3" fillId="5" borderId="5" xfId="0" applyFont="1" applyFill="1" applyBorder="1" applyAlignment="1">
      <alignment horizontal="center" vertical="center" wrapText="1"/>
    </xf>
    <xf numFmtId="2" fontId="16" fillId="2" borderId="1" xfId="0" applyNumberFormat="1"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9" xfId="0" applyFont="1" applyFill="1" applyBorder="1" applyAlignment="1">
      <alignment wrapText="1"/>
    </xf>
    <xf numFmtId="0" fontId="17" fillId="2" borderId="9" xfId="0" applyFont="1" applyFill="1" applyBorder="1" applyAlignment="1">
      <alignment horizontal="center" vertical="center" wrapText="1"/>
    </xf>
    <xf numFmtId="0" fontId="7" fillId="2" borderId="9" xfId="0" applyFont="1" applyFill="1" applyBorder="1" applyAlignment="1">
      <alignment horizontal="center" vertical="center" wrapText="1"/>
    </xf>
    <xf numFmtId="2" fontId="16" fillId="2" borderId="5" xfId="0" applyNumberFormat="1" applyFont="1" applyFill="1" applyBorder="1" applyAlignment="1">
      <alignment horizontal="center" vertical="center" wrapText="1"/>
    </xf>
    <xf numFmtId="0" fontId="3" fillId="0" borderId="3" xfId="0" applyFont="1" applyBorder="1" applyAlignment="1">
      <alignment wrapText="1"/>
    </xf>
    <xf numFmtId="0" fontId="4" fillId="7" borderId="3" xfId="0" applyFont="1" applyFill="1" applyBorder="1" applyAlignment="1">
      <alignment wrapText="1"/>
    </xf>
    <xf numFmtId="164" fontId="2" fillId="0" borderId="3" xfId="1" applyFont="1" applyFill="1" applyBorder="1" applyAlignment="1">
      <alignment horizontal="center" vertical="center"/>
    </xf>
    <xf numFmtId="164" fontId="3" fillId="0" borderId="3" xfId="1" applyFont="1" applyFill="1" applyBorder="1" applyAlignment="1">
      <alignment horizontal="right" vertical="center"/>
    </xf>
    <xf numFmtId="164" fontId="3" fillId="0" borderId="3" xfId="1" applyFont="1" applyFill="1" applyBorder="1" applyAlignment="1">
      <alignment horizontal="center" vertical="center" wrapText="1"/>
    </xf>
    <xf numFmtId="164" fontId="4" fillId="0" borderId="3" xfId="1" applyFont="1" applyFill="1" applyBorder="1" applyAlignment="1">
      <alignment horizontal="right" vertical="center"/>
    </xf>
    <xf numFmtId="164" fontId="3" fillId="0" borderId="3" xfId="1" applyFont="1" applyBorder="1" applyAlignment="1">
      <alignment horizontal="left" vertical="center"/>
    </xf>
    <xf numFmtId="164" fontId="3" fillId="0" borderId="3" xfId="1" applyFont="1" applyFill="1" applyBorder="1" applyAlignment="1">
      <alignment horizontal="center" vertical="center"/>
    </xf>
    <xf numFmtId="164" fontId="3" fillId="0" borderId="3" xfId="1" applyFont="1" applyFill="1" applyBorder="1" applyAlignment="1">
      <alignment horizontal="left" vertical="center"/>
    </xf>
    <xf numFmtId="164" fontId="4" fillId="0" borderId="3" xfId="1" applyFont="1" applyBorder="1" applyAlignment="1">
      <alignment horizontal="right" vertical="center"/>
    </xf>
    <xf numFmtId="164" fontId="3" fillId="3" borderId="3" xfId="1" applyFont="1" applyFill="1" applyBorder="1" applyAlignment="1">
      <alignment horizontal="left" vertical="center"/>
    </xf>
    <xf numFmtId="164" fontId="3" fillId="0" borderId="3" xfId="1" applyFont="1" applyBorder="1" applyAlignment="1">
      <alignment horizontal="center" vertical="center"/>
    </xf>
    <xf numFmtId="164" fontId="3" fillId="2" borderId="3" xfId="1" applyFont="1" applyFill="1" applyBorder="1" applyAlignment="1">
      <alignment horizontal="left" vertical="center"/>
    </xf>
    <xf numFmtId="164" fontId="3" fillId="0" borderId="13" xfId="1" applyFont="1" applyBorder="1" applyAlignment="1">
      <alignment horizontal="center" vertical="center"/>
    </xf>
    <xf numFmtId="0" fontId="7" fillId="0" borderId="3" xfId="0" applyFont="1" applyBorder="1" applyAlignment="1">
      <alignment horizontal="center" vertical="center" wrapText="1"/>
    </xf>
    <xf numFmtId="0" fontId="7" fillId="2" borderId="3" xfId="0" applyFont="1" applyFill="1" applyBorder="1" applyAlignment="1">
      <alignment horizontal="center" vertical="center" wrapText="1"/>
    </xf>
    <xf numFmtId="0" fontId="7" fillId="5" borderId="13" xfId="0" applyFont="1" applyFill="1" applyBorder="1" applyAlignment="1">
      <alignment wrapText="1"/>
    </xf>
    <xf numFmtId="0" fontId="7" fillId="5" borderId="3" xfId="0" applyFont="1" applyFill="1" applyBorder="1" applyAlignment="1">
      <alignment wrapText="1"/>
    </xf>
    <xf numFmtId="0" fontId="3" fillId="0" borderId="3" xfId="0" applyFont="1" applyBorder="1" applyAlignment="1">
      <alignment horizontal="center" vertical="center" wrapText="1"/>
    </xf>
    <xf numFmtId="0" fontId="3" fillId="7" borderId="15" xfId="0" applyFont="1" applyFill="1" applyBorder="1" applyAlignment="1">
      <alignment wrapText="1"/>
    </xf>
    <xf numFmtId="0" fontId="3" fillId="2" borderId="17" xfId="0" applyFont="1" applyFill="1" applyBorder="1" applyAlignment="1">
      <alignment horizontal="center" vertical="center" wrapText="1"/>
    </xf>
    <xf numFmtId="0" fontId="4" fillId="7" borderId="17" xfId="0" applyFont="1" applyFill="1" applyBorder="1" applyAlignment="1">
      <alignment horizontal="center" vertical="center" wrapText="1"/>
    </xf>
    <xf numFmtId="0" fontId="4" fillId="7" borderId="13" xfId="0" applyFont="1" applyFill="1" applyBorder="1" applyAlignment="1">
      <alignment wrapText="1"/>
    </xf>
    <xf numFmtId="164" fontId="3" fillId="0" borderId="3" xfId="0" applyNumberFormat="1" applyFont="1" applyBorder="1" applyAlignment="1">
      <alignment wrapText="1"/>
    </xf>
    <xf numFmtId="164" fontId="3" fillId="5" borderId="3" xfId="0" applyNumberFormat="1" applyFont="1" applyFill="1" applyBorder="1" applyAlignment="1">
      <alignment wrapText="1"/>
    </xf>
    <xf numFmtId="164" fontId="4" fillId="6" borderId="3" xfId="0" applyNumberFormat="1" applyFont="1" applyFill="1" applyBorder="1" applyAlignment="1">
      <alignment wrapText="1"/>
    </xf>
    <xf numFmtId="0" fontId="22" fillId="2" borderId="1" xfId="0" applyFont="1" applyFill="1" applyBorder="1" applyAlignment="1">
      <alignment horizontal="center"/>
    </xf>
    <xf numFmtId="0" fontId="0" fillId="2" borderId="1" xfId="0" applyFill="1" applyBorder="1"/>
    <xf numFmtId="0" fontId="5" fillId="2" borderId="1" xfId="0" applyFont="1" applyFill="1" applyBorder="1"/>
    <xf numFmtId="0" fontId="0" fillId="0" borderId="1" xfId="0" applyBorder="1"/>
    <xf numFmtId="0" fontId="3" fillId="3" borderId="1" xfId="0" applyFont="1" applyFill="1" applyBorder="1" applyAlignment="1">
      <alignment horizontal="left" vertical="center" wrapText="1"/>
    </xf>
    <xf numFmtId="164" fontId="3" fillId="2" borderId="3" xfId="1" applyFont="1" applyFill="1" applyBorder="1" applyAlignment="1">
      <alignment horizontal="center" vertical="center" wrapText="1"/>
    </xf>
    <xf numFmtId="0" fontId="3" fillId="2" borderId="8" xfId="0" applyFont="1" applyFill="1" applyBorder="1" applyAlignment="1">
      <alignment wrapText="1"/>
    </xf>
    <xf numFmtId="0" fontId="3" fillId="8" borderId="1" xfId="0" applyFont="1" applyFill="1" applyBorder="1" applyAlignment="1">
      <alignment horizontal="center" vertical="center"/>
    </xf>
    <xf numFmtId="0" fontId="0" fillId="8" borderId="1" xfId="0" applyFill="1" applyBorder="1"/>
    <xf numFmtId="0" fontId="0" fillId="8" borderId="0" xfId="0" applyFill="1"/>
    <xf numFmtId="0" fontId="3" fillId="8" borderId="1" xfId="0" applyFont="1" applyFill="1" applyBorder="1" applyAlignment="1">
      <alignment horizontal="left" vertical="center"/>
    </xf>
    <xf numFmtId="164" fontId="3" fillId="8" borderId="1" xfId="1" applyFont="1" applyFill="1" applyBorder="1" applyAlignment="1">
      <alignment horizontal="left" vertical="center"/>
    </xf>
    <xf numFmtId="164" fontId="3" fillId="8" borderId="3" xfId="1" applyFont="1" applyFill="1" applyBorder="1" applyAlignment="1">
      <alignment horizontal="left" vertical="center"/>
    </xf>
    <xf numFmtId="0" fontId="4" fillId="7" borderId="3" xfId="0" applyFont="1" applyFill="1" applyBorder="1" applyAlignment="1">
      <alignment horizontal="center" wrapText="1"/>
    </xf>
    <xf numFmtId="0" fontId="0" fillId="0"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164" fontId="0" fillId="0" borderId="1" xfId="1" applyFont="1" applyFill="1" applyBorder="1" applyAlignment="1">
      <alignment horizontal="center" vertical="center"/>
    </xf>
    <xf numFmtId="164" fontId="0" fillId="0" borderId="3" xfId="1" applyFont="1" applyFill="1" applyBorder="1" applyAlignment="1">
      <alignment horizontal="center" vertical="center" wrapText="1"/>
    </xf>
    <xf numFmtId="0" fontId="0" fillId="0" borderId="1" xfId="0" applyFont="1" applyFill="1" applyBorder="1"/>
    <xf numFmtId="0" fontId="0" fillId="0" borderId="0" xfId="0" applyFont="1" applyFill="1"/>
    <xf numFmtId="0" fontId="4" fillId="0" borderId="13" xfId="0" applyFont="1" applyBorder="1" applyAlignment="1">
      <alignment horizontal="right" wrapText="1"/>
    </xf>
    <xf numFmtId="0" fontId="4" fillId="0" borderId="14" xfId="0" applyFont="1" applyBorder="1" applyAlignment="1">
      <alignment horizontal="right" wrapText="1"/>
    </xf>
    <xf numFmtId="0" fontId="4" fillId="0" borderId="11" xfId="0" applyFont="1" applyBorder="1" applyAlignment="1">
      <alignment horizontal="right" wrapText="1"/>
    </xf>
    <xf numFmtId="0" fontId="4" fillId="0" borderId="2" xfId="0" applyFont="1" applyBorder="1" applyAlignment="1">
      <alignment horizontal="center" wrapText="1"/>
    </xf>
    <xf numFmtId="0" fontId="4" fillId="0" borderId="4" xfId="0" applyFont="1" applyBorder="1" applyAlignment="1">
      <alignment horizontal="center" wrapText="1"/>
    </xf>
    <xf numFmtId="164" fontId="3" fillId="0" borderId="15" xfId="1" applyFont="1" applyBorder="1" applyAlignment="1">
      <alignment horizontal="center" vertical="center"/>
    </xf>
    <xf numFmtId="164" fontId="3" fillId="0" borderId="16" xfId="1" applyFont="1" applyBorder="1" applyAlignment="1">
      <alignment horizontal="center" vertical="center"/>
    </xf>
    <xf numFmtId="164" fontId="3" fillId="0" borderId="13" xfId="1" applyFont="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2" xfId="0" applyFont="1" applyBorder="1" applyAlignment="1">
      <alignment horizontal="center" vertical="center" wrapText="1"/>
    </xf>
    <xf numFmtId="0" fontId="15" fillId="5" borderId="13" xfId="0" applyFont="1" applyFill="1" applyBorder="1" applyAlignment="1">
      <alignment horizontal="right" wrapText="1"/>
    </xf>
    <xf numFmtId="0" fontId="15" fillId="5" borderId="14" xfId="0" applyFont="1" applyFill="1" applyBorder="1" applyAlignment="1">
      <alignment horizontal="right" wrapText="1"/>
    </xf>
    <xf numFmtId="0" fontId="15" fillId="5" borderId="11" xfId="0" applyFont="1" applyFill="1" applyBorder="1" applyAlignment="1">
      <alignment horizontal="right" wrapText="1"/>
    </xf>
    <xf numFmtId="0" fontId="3" fillId="0" borderId="1" xfId="0" applyFont="1" applyBorder="1" applyAlignment="1">
      <alignment horizontal="left" vertical="center"/>
    </xf>
    <xf numFmtId="0" fontId="7" fillId="0" borderId="9" xfId="0" applyFont="1" applyBorder="1" applyAlignment="1">
      <alignment horizontal="center" vertical="center" wrapText="1"/>
    </xf>
    <xf numFmtId="0" fontId="4" fillId="0" borderId="1" xfId="0" applyFont="1" applyBorder="1" applyAlignment="1">
      <alignment horizontal="right"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6" xfId="0" applyFont="1" applyBorder="1" applyAlignment="1">
      <alignment horizontal="center" vertical="center"/>
    </xf>
    <xf numFmtId="164" fontId="3" fillId="2" borderId="5" xfId="1" applyFont="1" applyFill="1" applyBorder="1" applyAlignment="1">
      <alignment horizontal="center" vertical="center"/>
    </xf>
    <xf numFmtId="164" fontId="3" fillId="2" borderId="7" xfId="1" applyFont="1" applyFill="1" applyBorder="1" applyAlignment="1">
      <alignment horizontal="center" vertical="center"/>
    </xf>
    <xf numFmtId="164" fontId="3" fillId="2" borderId="6" xfId="1" applyFont="1" applyFill="1" applyBorder="1" applyAlignment="1">
      <alignment horizontal="center" vertical="center"/>
    </xf>
    <xf numFmtId="0" fontId="4" fillId="7" borderId="3" xfId="0" applyFont="1" applyFill="1" applyBorder="1" applyAlignment="1">
      <alignment wrapText="1"/>
    </xf>
    <xf numFmtId="0" fontId="4" fillId="7" borderId="2" xfId="0" applyFont="1" applyFill="1" applyBorder="1" applyAlignment="1">
      <alignment wrapText="1"/>
    </xf>
    <xf numFmtId="0" fontId="4" fillId="7" borderId="4" xfId="0" applyFont="1" applyFill="1" applyBorder="1" applyAlignment="1">
      <alignment wrapText="1"/>
    </xf>
    <xf numFmtId="0" fontId="3" fillId="8" borderId="1" xfId="0" applyFont="1" applyFill="1" applyBorder="1" applyAlignment="1">
      <alignment horizontal="left" vertical="center"/>
    </xf>
    <xf numFmtId="0" fontId="3" fillId="0" borderId="1" xfId="0" applyFont="1" applyBorder="1" applyAlignment="1">
      <alignment horizontal="right" vertical="center"/>
    </xf>
    <xf numFmtId="0" fontId="3" fillId="0" borderId="3" xfId="0" applyFont="1" applyBorder="1" applyAlignment="1">
      <alignment wrapText="1"/>
    </xf>
    <xf numFmtId="0" fontId="3" fillId="0" borderId="2" xfId="0" applyFont="1" applyBorder="1" applyAlignment="1">
      <alignment wrapText="1"/>
    </xf>
    <xf numFmtId="0" fontId="3" fillId="0" borderId="4" xfId="0" applyFont="1" applyBorder="1" applyAlignment="1">
      <alignment wrapText="1"/>
    </xf>
    <xf numFmtId="0" fontId="4" fillId="0" borderId="3" xfId="0" applyFont="1" applyBorder="1" applyAlignment="1">
      <alignment wrapText="1"/>
    </xf>
    <xf numFmtId="0" fontId="4" fillId="0" borderId="2" xfId="0" applyFont="1" applyBorder="1" applyAlignment="1">
      <alignment wrapText="1"/>
    </xf>
    <xf numFmtId="0" fontId="4" fillId="0" borderId="4" xfId="0" applyFont="1" applyBorder="1" applyAlignment="1">
      <alignment wrapText="1"/>
    </xf>
    <xf numFmtId="0" fontId="4" fillId="6" borderId="3" xfId="0" applyFont="1" applyFill="1" applyBorder="1" applyAlignment="1">
      <alignment wrapText="1"/>
    </xf>
    <xf numFmtId="0" fontId="4" fillId="6" borderId="2" xfId="0" applyFont="1" applyFill="1" applyBorder="1" applyAlignment="1">
      <alignment wrapText="1"/>
    </xf>
    <xf numFmtId="0" fontId="4" fillId="6" borderId="4" xfId="0" applyFont="1" applyFill="1" applyBorder="1" applyAlignment="1">
      <alignment wrapText="1"/>
    </xf>
  </cellXfs>
  <cellStyles count="25">
    <cellStyle name="Comma" xfId="1" builtinId="3"/>
    <cellStyle name="Comma 2" xfId="7"/>
    <cellStyle name="Comma 2 2" xfId="14"/>
    <cellStyle name="Comma 2 2 2" xfId="22"/>
    <cellStyle name="Comma 2 3" xfId="17"/>
    <cellStyle name="Comma 3" xfId="10"/>
    <cellStyle name="Comma 3 2" xfId="15"/>
    <cellStyle name="Comma 3 2 2" xfId="23"/>
    <cellStyle name="Comma 3 3" xfId="18"/>
    <cellStyle name="Comma 4" xfId="12"/>
    <cellStyle name="Comma 4 2" xfId="16"/>
    <cellStyle name="Comma 4 2 2" xfId="24"/>
    <cellStyle name="Comma 4 3" xfId="19"/>
    <cellStyle name="Comma 5" xfId="6"/>
    <cellStyle name="Comma 5 2" xfId="20"/>
    <cellStyle name="Normal" xfId="0" builtinId="0"/>
    <cellStyle name="Normal 18 2" xfId="4"/>
    <cellStyle name="Normal 2" xfId="3"/>
    <cellStyle name="Normal 2 2" xfId="8"/>
    <cellStyle name="Normal 3" xfId="2"/>
    <cellStyle name="Normal 4" xfId="11"/>
    <cellStyle name="Normal 5" xfId="5"/>
    <cellStyle name="Normal 5 2 2" xfId="9"/>
    <cellStyle name="Normal 6" xfId="13"/>
    <cellStyle name="Normal 6 2" xfId="21"/>
  </cellStyles>
  <dxfs count="0"/>
  <tableStyles count="0" defaultTableStyle="TableStyleMedium2" defaultPivotStyle="PivotStyleLight16"/>
  <colors>
    <mruColors>
      <color rgb="FFFF9999"/>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M396"/>
  <sheetViews>
    <sheetView tabSelected="1" topLeftCell="A214" zoomScale="115" zoomScaleNormal="115" zoomScaleSheetLayoutView="85" workbookViewId="0">
      <selection activeCell="G247" sqref="G247"/>
    </sheetView>
  </sheetViews>
  <sheetFormatPr defaultRowHeight="14.25"/>
  <cols>
    <col min="1" max="1" width="7.25" style="8" customWidth="1"/>
    <col min="2" max="2" width="52" style="9" customWidth="1"/>
    <col min="3" max="3" width="8.75" style="8" bestFit="1" customWidth="1"/>
    <col min="4" max="4" width="8" style="8" customWidth="1"/>
    <col min="5" max="5" width="12" style="10" customWidth="1"/>
    <col min="6" max="6" width="15.375" style="10" customWidth="1"/>
    <col min="7" max="7" width="38.75" style="141" customWidth="1"/>
    <col min="8" max="9" width="8.875" style="41"/>
    <col min="10" max="10" width="10.375" style="41" bestFit="1" customWidth="1"/>
    <col min="11" max="117" width="8.875" style="41"/>
  </cols>
  <sheetData>
    <row r="1" spans="1:7" ht="15">
      <c r="A1" s="28" t="s">
        <v>0</v>
      </c>
      <c r="B1" s="29" t="s">
        <v>1</v>
      </c>
      <c r="C1" s="28" t="s">
        <v>2</v>
      </c>
      <c r="D1" s="28" t="s">
        <v>3</v>
      </c>
      <c r="E1" s="18" t="s">
        <v>4</v>
      </c>
      <c r="F1" s="116" t="s">
        <v>5</v>
      </c>
      <c r="G1" s="140" t="s">
        <v>362</v>
      </c>
    </row>
    <row r="2" spans="1:7">
      <c r="A2" s="5">
        <v>1</v>
      </c>
      <c r="B2" s="174" t="s">
        <v>6</v>
      </c>
      <c r="C2" s="174"/>
      <c r="D2" s="174"/>
      <c r="E2" s="174"/>
      <c r="F2" s="174"/>
    </row>
    <row r="3" spans="1:7" ht="28.5">
      <c r="A3" s="5">
        <v>1.01</v>
      </c>
      <c r="B3" s="7" t="s">
        <v>401</v>
      </c>
      <c r="C3" s="5">
        <v>1</v>
      </c>
      <c r="D3" s="5" t="s">
        <v>7</v>
      </c>
      <c r="E3" s="24">
        <v>9600</v>
      </c>
      <c r="F3" s="117">
        <f>C3*E3</f>
        <v>9600</v>
      </c>
    </row>
    <row r="4" spans="1:7" ht="57">
      <c r="A4" s="30">
        <v>1.02</v>
      </c>
      <c r="B4" s="7" t="s">
        <v>108</v>
      </c>
      <c r="C4" s="30" t="s">
        <v>8</v>
      </c>
      <c r="D4" s="30" t="s">
        <v>7</v>
      </c>
      <c r="E4" s="3">
        <v>6500</v>
      </c>
      <c r="F4" s="117">
        <f t="shared" ref="F4:F21" si="0">C4*E4</f>
        <v>6500</v>
      </c>
    </row>
    <row r="5" spans="1:7" ht="57">
      <c r="A5" s="5">
        <v>1.03</v>
      </c>
      <c r="B5" s="7" t="s">
        <v>49</v>
      </c>
      <c r="C5" s="30">
        <v>1</v>
      </c>
      <c r="D5" s="30" t="s">
        <v>9</v>
      </c>
      <c r="E5" s="3">
        <v>3500</v>
      </c>
      <c r="F5" s="117">
        <f t="shared" si="0"/>
        <v>3500</v>
      </c>
    </row>
    <row r="6" spans="1:7" ht="28.5">
      <c r="A6" s="30">
        <v>1.04</v>
      </c>
      <c r="B6" s="7" t="s">
        <v>54</v>
      </c>
      <c r="C6" s="30">
        <v>1</v>
      </c>
      <c r="D6" s="30" t="s">
        <v>7</v>
      </c>
      <c r="E6" s="3">
        <v>0</v>
      </c>
      <c r="F6" s="117">
        <f t="shared" si="0"/>
        <v>0</v>
      </c>
    </row>
    <row r="7" spans="1:7" ht="42.75">
      <c r="A7" s="5">
        <v>1.05</v>
      </c>
      <c r="B7" s="7" t="s">
        <v>109</v>
      </c>
      <c r="C7" s="30" t="s">
        <v>8</v>
      </c>
      <c r="D7" s="30" t="s">
        <v>7</v>
      </c>
      <c r="E7" s="3">
        <v>12000</v>
      </c>
      <c r="F7" s="117">
        <f t="shared" si="0"/>
        <v>12000</v>
      </c>
    </row>
    <row r="8" spans="1:7">
      <c r="A8" s="30">
        <v>1.06</v>
      </c>
      <c r="B8" s="7" t="s">
        <v>10</v>
      </c>
      <c r="C8" s="5">
        <v>1</v>
      </c>
      <c r="D8" s="5" t="s">
        <v>7</v>
      </c>
      <c r="E8" s="3">
        <v>5500</v>
      </c>
      <c r="F8" s="117">
        <f t="shared" si="0"/>
        <v>5500</v>
      </c>
    </row>
    <row r="9" spans="1:7" ht="57">
      <c r="A9" s="5">
        <v>1.07</v>
      </c>
      <c r="B9" s="7" t="s">
        <v>50</v>
      </c>
      <c r="C9" s="30" t="s">
        <v>8</v>
      </c>
      <c r="D9" s="30" t="s">
        <v>7</v>
      </c>
      <c r="E9" s="3">
        <v>6500</v>
      </c>
      <c r="F9" s="117">
        <f t="shared" si="0"/>
        <v>6500</v>
      </c>
    </row>
    <row r="10" spans="1:7" ht="28.5">
      <c r="A10" s="30">
        <v>1.08</v>
      </c>
      <c r="B10" s="7" t="s">
        <v>11</v>
      </c>
      <c r="C10" s="30" t="s">
        <v>8</v>
      </c>
      <c r="D10" s="30" t="s">
        <v>7</v>
      </c>
      <c r="E10" s="3">
        <v>1800</v>
      </c>
      <c r="F10" s="117">
        <f t="shared" si="0"/>
        <v>1800</v>
      </c>
    </row>
    <row r="11" spans="1:7" ht="28.5">
      <c r="A11" s="5">
        <v>1.0900000000000001</v>
      </c>
      <c r="B11" s="7" t="s">
        <v>12</v>
      </c>
      <c r="C11" s="30" t="s">
        <v>8</v>
      </c>
      <c r="D11" s="30" t="s">
        <v>7</v>
      </c>
      <c r="E11" s="21">
        <v>750</v>
      </c>
      <c r="F11" s="117">
        <f t="shared" si="0"/>
        <v>750</v>
      </c>
    </row>
    <row r="12" spans="1:7" ht="28.5">
      <c r="A12" s="30">
        <v>1.1000000000000001</v>
      </c>
      <c r="B12" s="7" t="s">
        <v>13</v>
      </c>
      <c r="C12" s="30" t="s">
        <v>8</v>
      </c>
      <c r="D12" s="30" t="s">
        <v>7</v>
      </c>
      <c r="E12" s="3">
        <v>4500</v>
      </c>
      <c r="F12" s="117">
        <f t="shared" si="0"/>
        <v>4500</v>
      </c>
    </row>
    <row r="13" spans="1:7" ht="28.5">
      <c r="A13" s="5">
        <v>1.1100000000000001</v>
      </c>
      <c r="B13" s="7" t="s">
        <v>14</v>
      </c>
      <c r="C13" s="30" t="s">
        <v>8</v>
      </c>
      <c r="D13" s="30" t="s">
        <v>7</v>
      </c>
      <c r="E13" s="21">
        <v>7500</v>
      </c>
      <c r="F13" s="117">
        <f t="shared" si="0"/>
        <v>7500</v>
      </c>
    </row>
    <row r="14" spans="1:7" ht="28.5">
      <c r="A14" s="30">
        <v>1.1200000000000001</v>
      </c>
      <c r="B14" s="7" t="s">
        <v>15</v>
      </c>
      <c r="C14" s="30" t="s">
        <v>8</v>
      </c>
      <c r="D14" s="30" t="s">
        <v>7</v>
      </c>
      <c r="E14" s="3">
        <v>6500</v>
      </c>
      <c r="F14" s="117">
        <f t="shared" si="0"/>
        <v>6500</v>
      </c>
    </row>
    <row r="15" spans="1:7" ht="42.75">
      <c r="A15" s="5">
        <v>1.1299999999999999</v>
      </c>
      <c r="B15" s="37" t="s">
        <v>297</v>
      </c>
      <c r="C15" s="30">
        <v>1</v>
      </c>
      <c r="D15" s="30" t="s">
        <v>7</v>
      </c>
      <c r="E15" s="3">
        <v>21340</v>
      </c>
      <c r="F15" s="117">
        <f t="shared" si="0"/>
        <v>21340</v>
      </c>
    </row>
    <row r="16" spans="1:7" ht="57">
      <c r="A16" s="30">
        <v>1.1399999999999999</v>
      </c>
      <c r="B16" s="7" t="s">
        <v>16</v>
      </c>
      <c r="C16" s="30" t="s">
        <v>8</v>
      </c>
      <c r="D16" s="30" t="s">
        <v>7</v>
      </c>
      <c r="E16" s="21">
        <v>4000</v>
      </c>
      <c r="F16" s="117">
        <f t="shared" si="0"/>
        <v>4000</v>
      </c>
    </row>
    <row r="17" spans="1:6" ht="71.25">
      <c r="A17" s="5">
        <v>1.1499999999999999</v>
      </c>
      <c r="B17" s="7" t="s">
        <v>110</v>
      </c>
      <c r="C17" s="30" t="s">
        <v>8</v>
      </c>
      <c r="D17" s="30" t="s">
        <v>7</v>
      </c>
      <c r="E17" s="3">
        <v>16500</v>
      </c>
      <c r="F17" s="117">
        <f t="shared" si="0"/>
        <v>16500</v>
      </c>
    </row>
    <row r="18" spans="1:6" ht="28.5">
      <c r="A18" s="30">
        <v>1.1599999999999999</v>
      </c>
      <c r="B18" s="7" t="s">
        <v>55</v>
      </c>
      <c r="C18" s="30" t="s">
        <v>8</v>
      </c>
      <c r="D18" s="30" t="s">
        <v>7</v>
      </c>
      <c r="E18" s="3">
        <v>7200</v>
      </c>
      <c r="F18" s="117">
        <f t="shared" si="0"/>
        <v>7200</v>
      </c>
    </row>
    <row r="19" spans="1:6" ht="42.75">
      <c r="A19" s="5">
        <v>1.17</v>
      </c>
      <c r="B19" s="7" t="s">
        <v>287</v>
      </c>
      <c r="C19" s="30" t="s">
        <v>8</v>
      </c>
      <c r="D19" s="30" t="s">
        <v>7</v>
      </c>
      <c r="E19" s="3">
        <v>6500</v>
      </c>
      <c r="F19" s="117">
        <f t="shared" si="0"/>
        <v>6500</v>
      </c>
    </row>
    <row r="20" spans="1:6">
      <c r="A20" s="30">
        <v>1.18</v>
      </c>
      <c r="B20" s="7" t="s">
        <v>111</v>
      </c>
      <c r="C20" s="30" t="s">
        <v>8</v>
      </c>
      <c r="D20" s="30" t="s">
        <v>7</v>
      </c>
      <c r="E20" s="3">
        <v>8500</v>
      </c>
      <c r="F20" s="117">
        <f t="shared" si="0"/>
        <v>8500</v>
      </c>
    </row>
    <row r="21" spans="1:6" ht="28.5">
      <c r="A21" s="30">
        <v>1.19</v>
      </c>
      <c r="B21" s="7" t="s">
        <v>365</v>
      </c>
      <c r="C21" s="30" t="s">
        <v>8</v>
      </c>
      <c r="D21" s="30" t="s">
        <v>7</v>
      </c>
      <c r="E21" s="3">
        <v>10600</v>
      </c>
      <c r="F21" s="117">
        <f t="shared" si="0"/>
        <v>10600</v>
      </c>
    </row>
    <row r="22" spans="1:6">
      <c r="A22" s="31"/>
      <c r="B22" s="7"/>
      <c r="C22" s="30"/>
      <c r="D22" s="30"/>
      <c r="E22" s="3"/>
      <c r="F22" s="118"/>
    </row>
    <row r="23" spans="1:6" ht="15">
      <c r="A23" s="176" t="s">
        <v>17</v>
      </c>
      <c r="B23" s="176"/>
      <c r="C23" s="176"/>
      <c r="D23" s="176"/>
      <c r="E23" s="176"/>
      <c r="F23" s="119">
        <f>SUM(F3:F22)</f>
        <v>139290</v>
      </c>
    </row>
    <row r="24" spans="1:6">
      <c r="A24" s="174"/>
      <c r="B24" s="174"/>
      <c r="C24" s="174"/>
      <c r="D24" s="174"/>
      <c r="E24" s="174"/>
      <c r="F24" s="174"/>
    </row>
    <row r="25" spans="1:6">
      <c r="A25" s="5">
        <v>2</v>
      </c>
      <c r="B25" s="174" t="s">
        <v>18</v>
      </c>
      <c r="C25" s="174"/>
      <c r="D25" s="174"/>
      <c r="E25" s="174"/>
      <c r="F25" s="174"/>
    </row>
    <row r="26" spans="1:6" ht="208.5" customHeight="1">
      <c r="A26" s="30" t="s">
        <v>19</v>
      </c>
      <c r="B26" s="7" t="s">
        <v>356</v>
      </c>
      <c r="C26" s="35">
        <v>533</v>
      </c>
      <c r="D26" s="30" t="s">
        <v>20</v>
      </c>
      <c r="E26" s="39">
        <v>160</v>
      </c>
      <c r="F26" s="118">
        <f t="shared" ref="F26:F31" si="1">C26*E26</f>
        <v>85280</v>
      </c>
    </row>
    <row r="27" spans="1:6" ht="210.95" customHeight="1">
      <c r="A27" s="30">
        <v>2.02</v>
      </c>
      <c r="B27" s="7" t="s">
        <v>391</v>
      </c>
      <c r="C27" s="35">
        <v>574</v>
      </c>
      <c r="D27" s="30" t="s">
        <v>20</v>
      </c>
      <c r="E27" s="39">
        <v>175</v>
      </c>
      <c r="F27" s="118">
        <f t="shared" si="1"/>
        <v>100450</v>
      </c>
    </row>
    <row r="28" spans="1:6" ht="57">
      <c r="A28" s="30">
        <v>2.0299999999999998</v>
      </c>
      <c r="B28" s="7" t="s">
        <v>392</v>
      </c>
      <c r="C28" s="35">
        <v>200</v>
      </c>
      <c r="D28" s="30" t="s">
        <v>20</v>
      </c>
      <c r="E28" s="39">
        <v>95</v>
      </c>
      <c r="F28" s="118">
        <f t="shared" si="1"/>
        <v>19000</v>
      </c>
    </row>
    <row r="29" spans="1:6" ht="57">
      <c r="A29" s="30">
        <v>2.04</v>
      </c>
      <c r="B29" s="37" t="s">
        <v>113</v>
      </c>
      <c r="C29" s="35">
        <v>75</v>
      </c>
      <c r="D29" s="30" t="s">
        <v>20</v>
      </c>
      <c r="E29" s="39">
        <v>175</v>
      </c>
      <c r="F29" s="118">
        <f t="shared" si="1"/>
        <v>13125</v>
      </c>
    </row>
    <row r="30" spans="1:6" ht="28.5">
      <c r="A30" s="30">
        <v>2.0499999999999998</v>
      </c>
      <c r="B30" s="37" t="s">
        <v>301</v>
      </c>
      <c r="C30" s="35">
        <v>1</v>
      </c>
      <c r="D30" s="30" t="s">
        <v>51</v>
      </c>
      <c r="E30" s="39">
        <v>4500</v>
      </c>
      <c r="F30" s="118">
        <f t="shared" si="1"/>
        <v>4500</v>
      </c>
    </row>
    <row r="31" spans="1:6" ht="42.75">
      <c r="A31" s="30">
        <v>2.06</v>
      </c>
      <c r="B31" s="37" t="s">
        <v>357</v>
      </c>
      <c r="C31" s="35">
        <v>403</v>
      </c>
      <c r="D31" s="30" t="s">
        <v>20</v>
      </c>
      <c r="E31" s="39">
        <v>120</v>
      </c>
      <c r="F31" s="118">
        <f t="shared" si="1"/>
        <v>48360</v>
      </c>
    </row>
    <row r="32" spans="1:6" ht="82.9" customHeight="1">
      <c r="A32" s="30">
        <v>2.0699999999999998</v>
      </c>
      <c r="B32" s="7" t="s">
        <v>361</v>
      </c>
      <c r="C32" s="30">
        <v>272</v>
      </c>
      <c r="D32" s="30" t="s">
        <v>20</v>
      </c>
      <c r="E32" s="6">
        <v>175</v>
      </c>
      <c r="F32" s="118">
        <f t="shared" ref="F32:F39" si="2">C32*E32</f>
        <v>47600</v>
      </c>
    </row>
    <row r="33" spans="1:7" ht="82.9" customHeight="1">
      <c r="A33" s="30">
        <v>2.08</v>
      </c>
      <c r="B33" s="7" t="s">
        <v>385</v>
      </c>
      <c r="C33" s="30">
        <f>35+73</f>
        <v>108</v>
      </c>
      <c r="D33" s="30" t="s">
        <v>112</v>
      </c>
      <c r="E33" s="6">
        <v>220</v>
      </c>
      <c r="F33" s="118">
        <f t="shared" si="2"/>
        <v>23760</v>
      </c>
      <c r="G33" s="141" t="s">
        <v>413</v>
      </c>
    </row>
    <row r="34" spans="1:7" ht="42.75">
      <c r="A34" s="30">
        <v>2.09</v>
      </c>
      <c r="B34" s="7" t="s">
        <v>358</v>
      </c>
      <c r="C34" s="30">
        <v>64</v>
      </c>
      <c r="D34" s="30" t="s">
        <v>20</v>
      </c>
      <c r="E34" s="3">
        <v>120</v>
      </c>
      <c r="F34" s="118">
        <f>C34*E34</f>
        <v>7680</v>
      </c>
    </row>
    <row r="35" spans="1:7" ht="42.75">
      <c r="A35" s="30">
        <v>2.1</v>
      </c>
      <c r="B35" s="7" t="s">
        <v>359</v>
      </c>
      <c r="C35" s="30">
        <v>47</v>
      </c>
      <c r="D35" s="30" t="s">
        <v>20</v>
      </c>
      <c r="E35" s="3">
        <v>450</v>
      </c>
      <c r="F35" s="118">
        <f>C35*E35</f>
        <v>21150</v>
      </c>
    </row>
    <row r="36" spans="1:7" ht="28.5">
      <c r="A36" s="30">
        <v>2.11</v>
      </c>
      <c r="B36" s="7" t="s">
        <v>114</v>
      </c>
      <c r="C36" s="35">
        <v>135</v>
      </c>
      <c r="D36" s="30" t="s">
        <v>20</v>
      </c>
      <c r="E36" s="3">
        <v>55</v>
      </c>
      <c r="F36" s="118">
        <f>C36*E36</f>
        <v>7425</v>
      </c>
    </row>
    <row r="37" spans="1:7" ht="82.9" customHeight="1">
      <c r="A37" s="31">
        <v>2.12</v>
      </c>
      <c r="B37" s="7" t="s">
        <v>360</v>
      </c>
      <c r="C37" s="30">
        <v>80</v>
      </c>
      <c r="D37" s="30" t="s">
        <v>20</v>
      </c>
      <c r="E37" s="6">
        <v>175</v>
      </c>
      <c r="F37" s="118">
        <f t="shared" ref="F37" si="3">C37*E37</f>
        <v>14000</v>
      </c>
    </row>
    <row r="38" spans="1:7" ht="28.5">
      <c r="A38" s="31">
        <v>2.13</v>
      </c>
      <c r="B38" s="7" t="s">
        <v>64</v>
      </c>
      <c r="C38" s="30">
        <v>9</v>
      </c>
      <c r="D38" s="30" t="s">
        <v>42</v>
      </c>
      <c r="E38" s="3">
        <v>450</v>
      </c>
      <c r="F38" s="118">
        <f t="shared" si="2"/>
        <v>4050</v>
      </c>
    </row>
    <row r="39" spans="1:7" ht="28.5">
      <c r="A39" s="31">
        <v>2.14</v>
      </c>
      <c r="B39" s="7" t="s">
        <v>48</v>
      </c>
      <c r="C39" s="30">
        <v>30</v>
      </c>
      <c r="D39" s="30" t="s">
        <v>42</v>
      </c>
      <c r="E39" s="3">
        <v>75</v>
      </c>
      <c r="F39" s="118">
        <f t="shared" si="2"/>
        <v>2250</v>
      </c>
    </row>
    <row r="40" spans="1:7" ht="15">
      <c r="A40" s="176" t="s">
        <v>22</v>
      </c>
      <c r="B40" s="176"/>
      <c r="C40" s="176"/>
      <c r="D40" s="176"/>
      <c r="E40" s="176"/>
      <c r="F40" s="119">
        <f>SUM(F26:F39)</f>
        <v>398630</v>
      </c>
    </row>
    <row r="41" spans="1:7">
      <c r="A41" s="174"/>
      <c r="B41" s="174"/>
      <c r="C41" s="174"/>
      <c r="D41" s="174"/>
      <c r="E41" s="174"/>
      <c r="F41" s="174"/>
    </row>
    <row r="42" spans="1:7">
      <c r="A42" s="5">
        <v>3</v>
      </c>
      <c r="B42" s="174" t="s">
        <v>23</v>
      </c>
      <c r="C42" s="174"/>
      <c r="D42" s="174"/>
      <c r="E42" s="174"/>
      <c r="F42" s="174"/>
    </row>
    <row r="43" spans="1:7" ht="71.25">
      <c r="A43" s="30" t="s">
        <v>24</v>
      </c>
      <c r="B43" s="37" t="s">
        <v>115</v>
      </c>
      <c r="C43" s="35">
        <v>3907</v>
      </c>
      <c r="D43" s="30" t="s">
        <v>20</v>
      </c>
      <c r="E43" s="3">
        <v>120</v>
      </c>
      <c r="F43" s="118">
        <f>C43*E43</f>
        <v>468840</v>
      </c>
    </row>
    <row r="44" spans="1:7" ht="71.25">
      <c r="A44" s="30">
        <v>3.02</v>
      </c>
      <c r="B44" s="37" t="s">
        <v>117</v>
      </c>
      <c r="C44" s="35">
        <v>244</v>
      </c>
      <c r="D44" s="30" t="s">
        <v>20</v>
      </c>
      <c r="E44" s="3">
        <v>90</v>
      </c>
      <c r="F44" s="118">
        <f>C44*E44</f>
        <v>21960</v>
      </c>
    </row>
    <row r="45" spans="1:7" ht="42.75">
      <c r="A45" s="30">
        <v>3.03</v>
      </c>
      <c r="B45" s="7" t="s">
        <v>288</v>
      </c>
      <c r="C45" s="30">
        <v>45</v>
      </c>
      <c r="D45" s="30" t="s">
        <v>20</v>
      </c>
      <c r="E45" s="3">
        <v>275</v>
      </c>
      <c r="F45" s="118">
        <f t="shared" ref="F45" si="4">C45*E45</f>
        <v>12375</v>
      </c>
    </row>
    <row r="46" spans="1:7" ht="42.75">
      <c r="A46" s="30">
        <v>3.04</v>
      </c>
      <c r="B46" s="7" t="s">
        <v>116</v>
      </c>
      <c r="C46" s="30">
        <v>66</v>
      </c>
      <c r="D46" s="30" t="s">
        <v>20</v>
      </c>
      <c r="E46" s="3">
        <v>125</v>
      </c>
      <c r="F46" s="118">
        <f>C46*E46</f>
        <v>8250</v>
      </c>
    </row>
    <row r="47" spans="1:7" ht="28.5">
      <c r="A47" s="30">
        <v>3.05</v>
      </c>
      <c r="B47" s="7" t="s">
        <v>289</v>
      </c>
      <c r="C47" s="30">
        <v>73</v>
      </c>
      <c r="D47" s="30" t="s">
        <v>20</v>
      </c>
      <c r="E47" s="3">
        <v>220</v>
      </c>
      <c r="F47" s="118">
        <f t="shared" ref="F47:F50" si="5">C47*E47</f>
        <v>16060</v>
      </c>
    </row>
    <row r="48" spans="1:7" ht="28.5">
      <c r="A48" s="30">
        <v>3.06</v>
      </c>
      <c r="B48" s="7" t="s">
        <v>402</v>
      </c>
      <c r="C48" s="30">
        <v>23</v>
      </c>
      <c r="D48" s="30" t="s">
        <v>20</v>
      </c>
      <c r="E48" s="3">
        <v>230</v>
      </c>
      <c r="F48" s="118">
        <f t="shared" si="5"/>
        <v>5290</v>
      </c>
    </row>
    <row r="49" spans="1:7" ht="28.5">
      <c r="A49" s="30">
        <v>3.07</v>
      </c>
      <c r="B49" s="7" t="s">
        <v>118</v>
      </c>
      <c r="C49" s="30">
        <v>105</v>
      </c>
      <c r="D49" s="30" t="s">
        <v>119</v>
      </c>
      <c r="E49" s="3">
        <v>80</v>
      </c>
      <c r="F49" s="118">
        <f t="shared" si="5"/>
        <v>8400</v>
      </c>
    </row>
    <row r="50" spans="1:7" ht="42.75">
      <c r="A50" s="30">
        <v>3.08</v>
      </c>
      <c r="B50" s="7" t="s">
        <v>364</v>
      </c>
      <c r="C50" s="30">
        <v>60</v>
      </c>
      <c r="D50" s="30" t="s">
        <v>20</v>
      </c>
      <c r="E50" s="3">
        <v>75</v>
      </c>
      <c r="F50" s="118">
        <f t="shared" si="5"/>
        <v>4500</v>
      </c>
    </row>
    <row r="51" spans="1:7" ht="15">
      <c r="A51" s="176" t="s">
        <v>26</v>
      </c>
      <c r="B51" s="176"/>
      <c r="C51" s="176"/>
      <c r="D51" s="176"/>
      <c r="E51" s="176"/>
      <c r="F51" s="119">
        <f>SUM(F43:F50)</f>
        <v>545675</v>
      </c>
    </row>
    <row r="52" spans="1:7">
      <c r="A52" s="5">
        <v>4</v>
      </c>
      <c r="B52" s="174" t="s">
        <v>27</v>
      </c>
      <c r="C52" s="174"/>
      <c r="D52" s="174"/>
      <c r="E52" s="174"/>
      <c r="F52" s="174"/>
    </row>
    <row r="53" spans="1:7" s="159" customFormat="1" ht="42.75">
      <c r="A53" s="154">
        <v>4.01</v>
      </c>
      <c r="B53" s="155" t="s">
        <v>290</v>
      </c>
      <c r="C53" s="154">
        <v>1836</v>
      </c>
      <c r="D53" s="154" t="s">
        <v>20</v>
      </c>
      <c r="E53" s="156">
        <v>250</v>
      </c>
      <c r="F53" s="157">
        <f t="shared" ref="F53" si="6">C53*E53</f>
        <v>459000</v>
      </c>
      <c r="G53" s="158"/>
    </row>
    <row r="54" spans="1:7" ht="57">
      <c r="A54" s="30">
        <v>4.03</v>
      </c>
      <c r="B54" s="7" t="s">
        <v>302</v>
      </c>
      <c r="C54" s="30">
        <v>30</v>
      </c>
      <c r="D54" s="30" t="s">
        <v>20</v>
      </c>
      <c r="E54" s="3">
        <v>220</v>
      </c>
      <c r="F54" s="118">
        <f t="shared" ref="F54:F62" si="7">C54*E54</f>
        <v>6600</v>
      </c>
    </row>
    <row r="55" spans="1:7" ht="57">
      <c r="A55" s="30">
        <v>4.04</v>
      </c>
      <c r="B55" s="7" t="s">
        <v>291</v>
      </c>
      <c r="C55" s="30">
        <v>155</v>
      </c>
      <c r="D55" s="30" t="s">
        <v>20</v>
      </c>
      <c r="E55" s="3">
        <v>220</v>
      </c>
      <c r="F55" s="118">
        <f t="shared" ref="F55:F56" si="8">C55*E55</f>
        <v>34100</v>
      </c>
    </row>
    <row r="56" spans="1:7" ht="28.5">
      <c r="A56" s="30">
        <v>4.05</v>
      </c>
      <c r="B56" s="7" t="s">
        <v>67</v>
      </c>
      <c r="C56" s="30">
        <v>175</v>
      </c>
      <c r="D56" s="30" t="s">
        <v>21</v>
      </c>
      <c r="E56" s="3">
        <v>25</v>
      </c>
      <c r="F56" s="118">
        <f t="shared" si="8"/>
        <v>4375</v>
      </c>
    </row>
    <row r="57" spans="1:7" ht="28.5">
      <c r="A57" s="30">
        <v>4.0599999999999996</v>
      </c>
      <c r="B57" s="7" t="s">
        <v>65</v>
      </c>
      <c r="C57" s="30">
        <v>150</v>
      </c>
      <c r="D57" s="30" t="s">
        <v>21</v>
      </c>
      <c r="E57" s="3">
        <v>65</v>
      </c>
      <c r="F57" s="118">
        <f t="shared" si="7"/>
        <v>9750</v>
      </c>
    </row>
    <row r="58" spans="1:7">
      <c r="A58" s="31">
        <v>4.07</v>
      </c>
      <c r="B58" s="7" t="s">
        <v>66</v>
      </c>
      <c r="C58" s="30">
        <v>404</v>
      </c>
      <c r="D58" s="30" t="s">
        <v>21</v>
      </c>
      <c r="E58" s="3">
        <v>55</v>
      </c>
      <c r="F58" s="118">
        <f>C58*E58</f>
        <v>22220</v>
      </c>
    </row>
    <row r="59" spans="1:7" ht="42.75">
      <c r="A59" s="31">
        <v>4.08</v>
      </c>
      <c r="B59" s="7" t="s">
        <v>120</v>
      </c>
      <c r="C59" s="30">
        <v>48</v>
      </c>
      <c r="D59" s="30" t="s">
        <v>20</v>
      </c>
      <c r="E59" s="3">
        <v>180</v>
      </c>
      <c r="F59" s="118">
        <f t="shared" si="7"/>
        <v>8640</v>
      </c>
    </row>
    <row r="60" spans="1:7" ht="71.25">
      <c r="A60" s="30">
        <v>4.09</v>
      </c>
      <c r="B60" s="7" t="s">
        <v>383</v>
      </c>
      <c r="C60" s="30">
        <v>92</v>
      </c>
      <c r="D60" s="30" t="s">
        <v>20</v>
      </c>
      <c r="E60" s="3">
        <v>450</v>
      </c>
      <c r="F60" s="118">
        <f t="shared" si="7"/>
        <v>41400</v>
      </c>
    </row>
    <row r="61" spans="1:7" ht="42.75">
      <c r="A61" s="35">
        <v>4.0999999999999996</v>
      </c>
      <c r="B61" s="37" t="s">
        <v>363</v>
      </c>
      <c r="C61" s="35">
        <v>40</v>
      </c>
      <c r="D61" s="35" t="s">
        <v>20</v>
      </c>
      <c r="E61" s="2">
        <v>225</v>
      </c>
      <c r="F61" s="145">
        <f t="shared" si="7"/>
        <v>9000</v>
      </c>
      <c r="G61" s="141" t="s">
        <v>415</v>
      </c>
    </row>
    <row r="62" spans="1:7" s="41" customFormat="1" ht="227.45" customHeight="1">
      <c r="A62" s="35">
        <v>4.12</v>
      </c>
      <c r="B62" s="37" t="s">
        <v>384</v>
      </c>
      <c r="C62" s="35">
        <v>2791</v>
      </c>
      <c r="D62" s="35" t="s">
        <v>20</v>
      </c>
      <c r="E62" s="3">
        <v>180</v>
      </c>
      <c r="F62" s="145">
        <f t="shared" si="7"/>
        <v>502380</v>
      </c>
      <c r="G62" s="141"/>
    </row>
    <row r="63" spans="1:7" ht="15">
      <c r="A63" s="176" t="s">
        <v>28</v>
      </c>
      <c r="B63" s="176"/>
      <c r="C63" s="176"/>
      <c r="D63" s="176"/>
      <c r="E63" s="176"/>
      <c r="F63" s="145">
        <v>638467</v>
      </c>
    </row>
    <row r="64" spans="1:7">
      <c r="A64" s="174"/>
      <c r="B64" s="174"/>
      <c r="C64" s="174"/>
      <c r="D64" s="174"/>
      <c r="E64" s="174"/>
      <c r="F64" s="174"/>
    </row>
    <row r="65" spans="1:7" s="149" customFormat="1">
      <c r="A65" s="147">
        <v>5</v>
      </c>
      <c r="B65" s="186" t="s">
        <v>29</v>
      </c>
      <c r="C65" s="186"/>
      <c r="D65" s="186"/>
      <c r="E65" s="186"/>
      <c r="F65" s="186"/>
      <c r="G65" s="148"/>
    </row>
    <row r="66" spans="1:7" s="41" customFormat="1" ht="42.75">
      <c r="A66" s="13">
        <v>5.01</v>
      </c>
      <c r="B66" s="37" t="s">
        <v>386</v>
      </c>
      <c r="C66" s="44">
        <v>1</v>
      </c>
      <c r="D66" s="35" t="s">
        <v>51</v>
      </c>
      <c r="E66" s="2">
        <v>15000</v>
      </c>
      <c r="F66" s="145">
        <f>C66*E66</f>
        <v>15000</v>
      </c>
      <c r="G66" s="141"/>
    </row>
    <row r="67" spans="1:7" s="41" customFormat="1" ht="42.75">
      <c r="A67" s="35">
        <v>5.0199999999999996</v>
      </c>
      <c r="B67" s="37" t="s">
        <v>387</v>
      </c>
      <c r="C67" s="44">
        <v>1</v>
      </c>
      <c r="D67" s="35" t="s">
        <v>51</v>
      </c>
      <c r="E67" s="2">
        <v>13500</v>
      </c>
      <c r="F67" s="145">
        <f t="shared" ref="F67:F75" si="9">C67*E67</f>
        <v>13500</v>
      </c>
      <c r="G67" s="141"/>
    </row>
    <row r="68" spans="1:7" ht="57">
      <c r="A68" s="5">
        <v>5.03</v>
      </c>
      <c r="B68" s="37" t="s">
        <v>389</v>
      </c>
      <c r="C68" s="44">
        <v>204</v>
      </c>
      <c r="D68" s="30" t="s">
        <v>20</v>
      </c>
      <c r="E68" s="3">
        <v>175</v>
      </c>
      <c r="F68" s="118">
        <f t="shared" ref="F68:F73" si="10">C68*E68</f>
        <v>35700</v>
      </c>
    </row>
    <row r="69" spans="1:7" ht="42.75">
      <c r="A69" s="5">
        <v>5.04</v>
      </c>
      <c r="B69" s="7" t="s">
        <v>388</v>
      </c>
      <c r="C69" s="44">
        <v>204</v>
      </c>
      <c r="D69" s="30" t="s">
        <v>20</v>
      </c>
      <c r="E69" s="3">
        <v>95</v>
      </c>
      <c r="F69" s="118">
        <f t="shared" si="10"/>
        <v>19380</v>
      </c>
    </row>
    <row r="70" spans="1:7" ht="42.75">
      <c r="A70" s="5">
        <v>5.05</v>
      </c>
      <c r="B70" s="37" t="s">
        <v>393</v>
      </c>
      <c r="C70" s="44">
        <v>25</v>
      </c>
      <c r="D70" s="30" t="s">
        <v>20</v>
      </c>
      <c r="E70" s="3">
        <v>220</v>
      </c>
      <c r="F70" s="118">
        <f t="shared" si="10"/>
        <v>5500</v>
      </c>
    </row>
    <row r="71" spans="1:7" ht="28.5">
      <c r="A71" s="30">
        <v>5.0599999999999996</v>
      </c>
      <c r="B71" s="7" t="s">
        <v>390</v>
      </c>
      <c r="C71" s="35">
        <v>46</v>
      </c>
      <c r="D71" s="30" t="s">
        <v>20</v>
      </c>
      <c r="E71" s="3">
        <v>175</v>
      </c>
      <c r="F71" s="118">
        <f t="shared" si="10"/>
        <v>8050</v>
      </c>
    </row>
    <row r="72" spans="1:7" ht="28.5">
      <c r="A72" s="30">
        <v>5.07</v>
      </c>
      <c r="B72" s="7" t="s">
        <v>121</v>
      </c>
      <c r="C72" s="35">
        <v>58</v>
      </c>
      <c r="D72" s="30" t="s">
        <v>20</v>
      </c>
      <c r="E72" s="3">
        <v>175</v>
      </c>
      <c r="F72" s="118">
        <f t="shared" si="10"/>
        <v>10150</v>
      </c>
    </row>
    <row r="73" spans="1:7" ht="42.75">
      <c r="A73" s="30">
        <v>5.08</v>
      </c>
      <c r="B73" s="7" t="s">
        <v>68</v>
      </c>
      <c r="C73" s="30">
        <v>72</v>
      </c>
      <c r="D73" s="30" t="s">
        <v>20</v>
      </c>
      <c r="E73" s="3">
        <v>95</v>
      </c>
      <c r="F73" s="118">
        <f t="shared" si="10"/>
        <v>6840</v>
      </c>
    </row>
    <row r="74" spans="1:7" ht="42.75">
      <c r="A74" s="30">
        <v>5.09</v>
      </c>
      <c r="B74" s="7" t="s">
        <v>69</v>
      </c>
      <c r="C74" s="30">
        <v>30</v>
      </c>
      <c r="D74" s="30" t="s">
        <v>20</v>
      </c>
      <c r="E74" s="3">
        <v>120</v>
      </c>
      <c r="F74" s="118">
        <f t="shared" si="9"/>
        <v>3600</v>
      </c>
    </row>
    <row r="75" spans="1:7" ht="42.75">
      <c r="A75" s="31">
        <v>5.0999999999999996</v>
      </c>
      <c r="B75" s="7" t="s">
        <v>394</v>
      </c>
      <c r="C75" s="30">
        <v>5</v>
      </c>
      <c r="D75" s="30" t="s">
        <v>25</v>
      </c>
      <c r="E75" s="3">
        <v>450</v>
      </c>
      <c r="F75" s="118">
        <f t="shared" si="9"/>
        <v>2250</v>
      </c>
    </row>
    <row r="76" spans="1:7" ht="15">
      <c r="A76" s="176" t="s">
        <v>30</v>
      </c>
      <c r="B76" s="176"/>
      <c r="C76" s="176"/>
      <c r="D76" s="176"/>
      <c r="E76" s="176"/>
      <c r="F76" s="119">
        <f>SUM(F66:F75)</f>
        <v>119970</v>
      </c>
    </row>
    <row r="77" spans="1:7">
      <c r="A77" s="174"/>
      <c r="B77" s="174"/>
      <c r="C77" s="174"/>
      <c r="D77" s="174"/>
      <c r="E77" s="174"/>
      <c r="F77" s="174"/>
    </row>
    <row r="78" spans="1:7">
      <c r="A78" s="5">
        <v>6</v>
      </c>
      <c r="B78" s="174" t="s">
        <v>31</v>
      </c>
      <c r="C78" s="174"/>
      <c r="D78" s="174"/>
      <c r="E78" s="174"/>
      <c r="F78" s="174"/>
    </row>
    <row r="79" spans="1:7" ht="28.5">
      <c r="A79" s="30">
        <v>6.01</v>
      </c>
      <c r="B79" s="37" t="s">
        <v>122</v>
      </c>
      <c r="C79" s="35">
        <v>38</v>
      </c>
      <c r="D79" s="13" t="s">
        <v>112</v>
      </c>
      <c r="E79" s="2">
        <v>375</v>
      </c>
      <c r="F79" s="118">
        <f>C79*E79</f>
        <v>14250</v>
      </c>
    </row>
    <row r="80" spans="1:7" ht="28.5">
      <c r="A80" s="30">
        <v>6.02</v>
      </c>
      <c r="B80" s="37" t="s">
        <v>366</v>
      </c>
      <c r="C80" s="35">
        <v>20</v>
      </c>
      <c r="D80" s="13" t="s">
        <v>20</v>
      </c>
      <c r="E80" s="2">
        <v>375</v>
      </c>
      <c r="F80" s="118">
        <f>C80*E80</f>
        <v>7500</v>
      </c>
    </row>
    <row r="81" spans="1:7" ht="42.75">
      <c r="A81" s="30">
        <v>6.03</v>
      </c>
      <c r="B81" s="7" t="s">
        <v>123</v>
      </c>
      <c r="C81" s="30">
        <v>58</v>
      </c>
      <c r="D81" s="5" t="s">
        <v>20</v>
      </c>
      <c r="E81" s="3">
        <v>145</v>
      </c>
      <c r="F81" s="118">
        <f t="shared" ref="F81" si="11">C81*E81</f>
        <v>8410</v>
      </c>
    </row>
    <row r="82" spans="1:7" ht="28.5">
      <c r="A82" s="30">
        <v>6.04</v>
      </c>
      <c r="B82" s="7" t="s">
        <v>292</v>
      </c>
      <c r="C82" s="30">
        <v>58</v>
      </c>
      <c r="D82" s="30" t="s">
        <v>20</v>
      </c>
      <c r="E82" s="3">
        <v>175</v>
      </c>
      <c r="F82" s="118">
        <f t="shared" ref="F82" si="12">C82*E82</f>
        <v>10150</v>
      </c>
    </row>
    <row r="83" spans="1:7" ht="28.5">
      <c r="A83" s="30">
        <v>6.05</v>
      </c>
      <c r="B83" s="37" t="s">
        <v>294</v>
      </c>
      <c r="C83" s="35">
        <v>6</v>
      </c>
      <c r="D83" s="30" t="s">
        <v>20</v>
      </c>
      <c r="E83" s="3">
        <v>275</v>
      </c>
      <c r="F83" s="118">
        <f>C83*E83</f>
        <v>1650</v>
      </c>
    </row>
    <row r="84" spans="1:7" ht="42.75">
      <c r="A84" s="30">
        <v>6.06</v>
      </c>
      <c r="B84" s="37" t="s">
        <v>293</v>
      </c>
      <c r="C84" s="35">
        <v>14</v>
      </c>
      <c r="D84" s="30" t="s">
        <v>20</v>
      </c>
      <c r="E84" s="3">
        <v>220</v>
      </c>
      <c r="F84" s="118">
        <f>C84*E84</f>
        <v>3080</v>
      </c>
    </row>
    <row r="85" spans="1:7" ht="71.25">
      <c r="A85" s="30">
        <v>6.07</v>
      </c>
      <c r="B85" s="37" t="s">
        <v>367</v>
      </c>
      <c r="C85" s="35">
        <v>1</v>
      </c>
      <c r="D85" s="30" t="s">
        <v>51</v>
      </c>
      <c r="E85" s="3">
        <v>9500</v>
      </c>
      <c r="F85" s="118">
        <f>C85*E85</f>
        <v>9500</v>
      </c>
    </row>
    <row r="86" spans="1:7" ht="57">
      <c r="A86" s="30">
        <v>6.08</v>
      </c>
      <c r="B86" s="37" t="s">
        <v>368</v>
      </c>
      <c r="C86" s="35">
        <v>8</v>
      </c>
      <c r="D86" s="30" t="s">
        <v>20</v>
      </c>
      <c r="E86" s="3">
        <v>450</v>
      </c>
      <c r="F86" s="118">
        <f>C86*E86</f>
        <v>3600</v>
      </c>
    </row>
    <row r="87" spans="1:7" ht="15">
      <c r="A87" s="176" t="s">
        <v>32</v>
      </c>
      <c r="B87" s="176"/>
      <c r="C87" s="176"/>
      <c r="D87" s="176"/>
      <c r="E87" s="176"/>
      <c r="F87" s="119">
        <f>SUM(F79:F86)</f>
        <v>58140</v>
      </c>
    </row>
    <row r="88" spans="1:7" ht="15">
      <c r="A88" s="27"/>
      <c r="B88" s="27"/>
      <c r="C88" s="27"/>
      <c r="D88" s="27"/>
      <c r="E88" s="23"/>
      <c r="F88" s="119"/>
    </row>
    <row r="89" spans="1:7" s="149" customFormat="1">
      <c r="A89" s="147">
        <v>7</v>
      </c>
      <c r="B89" s="186" t="s">
        <v>33</v>
      </c>
      <c r="C89" s="186"/>
      <c r="D89" s="186"/>
      <c r="E89" s="186"/>
      <c r="F89" s="186"/>
      <c r="G89" s="148"/>
    </row>
    <row r="90" spans="1:7" ht="86.25">
      <c r="A90" s="30">
        <v>7.01</v>
      </c>
      <c r="B90" s="7" t="s">
        <v>70</v>
      </c>
      <c r="C90" s="30">
        <v>1</v>
      </c>
      <c r="D90" s="30" t="s">
        <v>25</v>
      </c>
      <c r="E90" s="3">
        <v>0</v>
      </c>
      <c r="F90" s="121">
        <f>C90*E90</f>
        <v>0</v>
      </c>
    </row>
    <row r="91" spans="1:7" ht="86.25">
      <c r="A91" s="30">
        <v>7.02</v>
      </c>
      <c r="B91" s="7" t="s">
        <v>71</v>
      </c>
      <c r="C91" s="30">
        <v>1</v>
      </c>
      <c r="D91" s="30" t="s">
        <v>25</v>
      </c>
      <c r="E91" s="3">
        <v>0</v>
      </c>
      <c r="F91" s="121">
        <f t="shared" ref="F91:F121" si="13">C91*E91</f>
        <v>0</v>
      </c>
    </row>
    <row r="92" spans="1:7" ht="86.25">
      <c r="A92" s="30">
        <v>7.03</v>
      </c>
      <c r="B92" s="7" t="s">
        <v>72</v>
      </c>
      <c r="C92" s="30">
        <v>1</v>
      </c>
      <c r="D92" s="30" t="s">
        <v>25</v>
      </c>
      <c r="E92" s="3">
        <v>0</v>
      </c>
      <c r="F92" s="121">
        <f t="shared" si="13"/>
        <v>0</v>
      </c>
    </row>
    <row r="93" spans="1:7" ht="86.25">
      <c r="A93" s="30">
        <v>7.04</v>
      </c>
      <c r="B93" s="7" t="s">
        <v>73</v>
      </c>
      <c r="C93" s="30">
        <v>1</v>
      </c>
      <c r="D93" s="30" t="s">
        <v>25</v>
      </c>
      <c r="E93" s="3">
        <v>0</v>
      </c>
      <c r="F93" s="121">
        <f t="shared" si="13"/>
        <v>0</v>
      </c>
    </row>
    <row r="94" spans="1:7" ht="72">
      <c r="A94" s="30">
        <v>7.05</v>
      </c>
      <c r="B94" s="7" t="s">
        <v>74</v>
      </c>
      <c r="C94" s="30">
        <v>1</v>
      </c>
      <c r="D94" s="30" t="s">
        <v>25</v>
      </c>
      <c r="E94" s="3">
        <v>0</v>
      </c>
      <c r="F94" s="121">
        <f t="shared" si="13"/>
        <v>0</v>
      </c>
    </row>
    <row r="95" spans="1:7" ht="72">
      <c r="A95" s="30">
        <v>7.06</v>
      </c>
      <c r="B95" s="7" t="s">
        <v>75</v>
      </c>
      <c r="C95" s="30">
        <v>1</v>
      </c>
      <c r="D95" s="30" t="s">
        <v>25</v>
      </c>
      <c r="E95" s="3">
        <v>0</v>
      </c>
      <c r="F95" s="121">
        <f t="shared" si="13"/>
        <v>0</v>
      </c>
    </row>
    <row r="96" spans="1:7" ht="72">
      <c r="A96" s="4">
        <v>7.07</v>
      </c>
      <c r="B96" s="7" t="s">
        <v>76</v>
      </c>
      <c r="C96" s="5">
        <v>1</v>
      </c>
      <c r="D96" s="5" t="s">
        <v>25</v>
      </c>
      <c r="E96" s="3">
        <v>0</v>
      </c>
      <c r="F96" s="121">
        <f t="shared" si="13"/>
        <v>0</v>
      </c>
    </row>
    <row r="97" spans="1:117" ht="86.25">
      <c r="A97" s="5">
        <v>7.08</v>
      </c>
      <c r="B97" s="7" t="s">
        <v>77</v>
      </c>
      <c r="C97" s="5">
        <v>1</v>
      </c>
      <c r="D97" s="5" t="s">
        <v>25</v>
      </c>
      <c r="E97" s="3">
        <v>0</v>
      </c>
      <c r="F97" s="121">
        <f t="shared" si="13"/>
        <v>0</v>
      </c>
    </row>
    <row r="98" spans="1:117" ht="72">
      <c r="A98" s="5">
        <v>7.09</v>
      </c>
      <c r="B98" s="7" t="s">
        <v>78</v>
      </c>
      <c r="C98" s="5">
        <v>1</v>
      </c>
      <c r="D98" s="5" t="s">
        <v>25</v>
      </c>
      <c r="E98" s="3">
        <v>0</v>
      </c>
      <c r="F98" s="121">
        <f t="shared" si="13"/>
        <v>0</v>
      </c>
    </row>
    <row r="99" spans="1:117" ht="72">
      <c r="A99" s="4">
        <v>7.1</v>
      </c>
      <c r="B99" s="7" t="s">
        <v>79</v>
      </c>
      <c r="C99" s="5">
        <v>1</v>
      </c>
      <c r="D99" s="5" t="s">
        <v>25</v>
      </c>
      <c r="E99" s="3">
        <v>0</v>
      </c>
      <c r="F99" s="121">
        <f t="shared" si="13"/>
        <v>0</v>
      </c>
    </row>
    <row r="100" spans="1:117" ht="114.75">
      <c r="A100" s="4">
        <v>7.11</v>
      </c>
      <c r="B100" s="7" t="s">
        <v>80</v>
      </c>
      <c r="C100" s="13">
        <v>1</v>
      </c>
      <c r="D100" s="13" t="s">
        <v>25</v>
      </c>
      <c r="E100" s="3">
        <v>0</v>
      </c>
      <c r="F100" s="121">
        <f t="shared" si="13"/>
        <v>0</v>
      </c>
    </row>
    <row r="101" spans="1:117" ht="114.75">
      <c r="A101" s="4">
        <v>7.12</v>
      </c>
      <c r="B101" s="7" t="s">
        <v>81</v>
      </c>
      <c r="C101" s="13">
        <v>4</v>
      </c>
      <c r="D101" s="13" t="s">
        <v>25</v>
      </c>
      <c r="E101" s="3">
        <v>0</v>
      </c>
      <c r="F101" s="121">
        <f t="shared" si="13"/>
        <v>0</v>
      </c>
    </row>
    <row r="102" spans="1:117" s="25" customFormat="1" ht="72">
      <c r="A102" s="30">
        <v>7.13</v>
      </c>
      <c r="B102" s="7" t="s">
        <v>82</v>
      </c>
      <c r="C102" s="5">
        <v>4</v>
      </c>
      <c r="D102" s="5" t="s">
        <v>25</v>
      </c>
      <c r="E102" s="3">
        <v>0</v>
      </c>
      <c r="F102" s="121">
        <f t="shared" si="13"/>
        <v>0</v>
      </c>
      <c r="G102" s="141"/>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c r="BU102" s="41"/>
      <c r="BV102" s="41"/>
      <c r="BW102" s="41"/>
      <c r="BX102" s="41"/>
      <c r="BY102" s="41"/>
      <c r="BZ102" s="41"/>
      <c r="CA102" s="41"/>
      <c r="CB102" s="41"/>
      <c r="CC102" s="41"/>
      <c r="CD102" s="41"/>
      <c r="CE102" s="41"/>
      <c r="CF102" s="41"/>
      <c r="CG102" s="41"/>
      <c r="CH102" s="41"/>
      <c r="CI102" s="41"/>
      <c r="CJ102" s="41"/>
      <c r="CK102" s="41"/>
      <c r="CL102" s="41"/>
      <c r="CM102" s="41"/>
      <c r="CN102" s="41"/>
      <c r="CO102" s="41"/>
      <c r="CP102" s="41"/>
      <c r="CQ102" s="41"/>
      <c r="CR102" s="41"/>
      <c r="CS102" s="41"/>
      <c r="CT102" s="41"/>
      <c r="CU102" s="41"/>
      <c r="CV102" s="41"/>
      <c r="CW102" s="41"/>
      <c r="CX102" s="41"/>
      <c r="CY102" s="41"/>
      <c r="CZ102" s="41"/>
      <c r="DA102" s="41"/>
      <c r="DB102" s="41"/>
      <c r="DC102" s="41"/>
      <c r="DD102" s="41"/>
      <c r="DE102" s="41"/>
      <c r="DF102" s="41"/>
      <c r="DG102" s="41"/>
      <c r="DH102" s="41"/>
      <c r="DI102" s="41"/>
      <c r="DJ102" s="41"/>
      <c r="DK102" s="41"/>
      <c r="DL102" s="41"/>
      <c r="DM102" s="41"/>
    </row>
    <row r="103" spans="1:117" s="25" customFormat="1" ht="72">
      <c r="A103" s="30">
        <v>7.14</v>
      </c>
      <c r="B103" s="7" t="s">
        <v>83</v>
      </c>
      <c r="C103" s="5">
        <v>2</v>
      </c>
      <c r="D103" s="5" t="s">
        <v>25</v>
      </c>
      <c r="E103" s="3">
        <v>0</v>
      </c>
      <c r="F103" s="121">
        <f t="shared" si="13"/>
        <v>0</v>
      </c>
      <c r="G103" s="141"/>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1"/>
      <c r="AK103" s="41"/>
      <c r="AL103" s="41"/>
      <c r="AM103" s="41"/>
      <c r="AN103" s="41"/>
      <c r="AO103" s="41"/>
      <c r="AP103" s="41"/>
      <c r="AQ103" s="41"/>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c r="BU103" s="41"/>
      <c r="BV103" s="41"/>
      <c r="BW103" s="41"/>
      <c r="BX103" s="41"/>
      <c r="BY103" s="41"/>
      <c r="BZ103" s="41"/>
      <c r="CA103" s="41"/>
      <c r="CB103" s="41"/>
      <c r="CC103" s="41"/>
      <c r="CD103" s="41"/>
      <c r="CE103" s="41"/>
      <c r="CF103" s="41"/>
      <c r="CG103" s="41"/>
      <c r="CH103" s="41"/>
      <c r="CI103" s="41"/>
      <c r="CJ103" s="41"/>
      <c r="CK103" s="41"/>
      <c r="CL103" s="41"/>
      <c r="CM103" s="41"/>
      <c r="CN103" s="41"/>
      <c r="CO103" s="41"/>
      <c r="CP103" s="41"/>
      <c r="CQ103" s="41"/>
      <c r="CR103" s="41"/>
      <c r="CS103" s="41"/>
      <c r="CT103" s="41"/>
      <c r="CU103" s="41"/>
      <c r="CV103" s="41"/>
      <c r="CW103" s="41"/>
      <c r="CX103" s="41"/>
      <c r="CY103" s="41"/>
      <c r="CZ103" s="41"/>
      <c r="DA103" s="41"/>
      <c r="DB103" s="41"/>
      <c r="DC103" s="41"/>
      <c r="DD103" s="41"/>
      <c r="DE103" s="41"/>
      <c r="DF103" s="41"/>
      <c r="DG103" s="41"/>
      <c r="DH103" s="41"/>
      <c r="DI103" s="41"/>
      <c r="DJ103" s="41"/>
      <c r="DK103" s="41"/>
      <c r="DL103" s="41"/>
      <c r="DM103" s="41"/>
    </row>
    <row r="104" spans="1:117" s="25" customFormat="1" ht="72">
      <c r="A104" s="30">
        <v>7.15</v>
      </c>
      <c r="B104" s="7" t="s">
        <v>84</v>
      </c>
      <c r="C104" s="5">
        <v>1</v>
      </c>
      <c r="D104" s="5" t="s">
        <v>25</v>
      </c>
      <c r="E104" s="3">
        <v>0</v>
      </c>
      <c r="F104" s="121">
        <f t="shared" si="13"/>
        <v>0</v>
      </c>
      <c r="G104" s="141"/>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41"/>
      <c r="BO104" s="41"/>
      <c r="BP104" s="41"/>
      <c r="BQ104" s="41"/>
      <c r="BR104" s="41"/>
      <c r="BS104" s="41"/>
      <c r="BT104" s="41"/>
      <c r="BU104" s="41"/>
      <c r="BV104" s="41"/>
      <c r="BW104" s="41"/>
      <c r="BX104" s="41"/>
      <c r="BY104" s="41"/>
      <c r="BZ104" s="41"/>
      <c r="CA104" s="41"/>
      <c r="CB104" s="41"/>
      <c r="CC104" s="41"/>
      <c r="CD104" s="41"/>
      <c r="CE104" s="41"/>
      <c r="CF104" s="41"/>
      <c r="CG104" s="41"/>
      <c r="CH104" s="41"/>
      <c r="CI104" s="41"/>
      <c r="CJ104" s="41"/>
      <c r="CK104" s="41"/>
      <c r="CL104" s="41"/>
      <c r="CM104" s="41"/>
      <c r="CN104" s="41"/>
      <c r="CO104" s="41"/>
      <c r="CP104" s="41"/>
      <c r="CQ104" s="41"/>
      <c r="CR104" s="41"/>
      <c r="CS104" s="41"/>
      <c r="CT104" s="41"/>
      <c r="CU104" s="41"/>
      <c r="CV104" s="41"/>
      <c r="CW104" s="41"/>
      <c r="CX104" s="41"/>
      <c r="CY104" s="41"/>
      <c r="CZ104" s="41"/>
      <c r="DA104" s="41"/>
      <c r="DB104" s="41"/>
      <c r="DC104" s="41"/>
      <c r="DD104" s="41"/>
      <c r="DE104" s="41"/>
      <c r="DF104" s="41"/>
      <c r="DG104" s="41"/>
      <c r="DH104" s="41"/>
      <c r="DI104" s="41"/>
      <c r="DJ104" s="41"/>
      <c r="DK104" s="41"/>
      <c r="DL104" s="41"/>
      <c r="DM104" s="41"/>
    </row>
    <row r="105" spans="1:117" s="25" customFormat="1" ht="72">
      <c r="A105" s="30">
        <v>7.16</v>
      </c>
      <c r="B105" s="7" t="s">
        <v>85</v>
      </c>
      <c r="C105" s="5">
        <v>1</v>
      </c>
      <c r="D105" s="5" t="s">
        <v>25</v>
      </c>
      <c r="E105" s="3">
        <v>0</v>
      </c>
      <c r="F105" s="121">
        <f t="shared" si="13"/>
        <v>0</v>
      </c>
      <c r="G105" s="141"/>
      <c r="H105" s="41"/>
      <c r="I105" s="41"/>
      <c r="J105" s="41"/>
      <c r="K105" s="41"/>
      <c r="L105" s="41"/>
      <c r="M105" s="41"/>
      <c r="N105" s="41"/>
      <c r="O105" s="41"/>
      <c r="P105" s="41"/>
      <c r="Q105" s="41"/>
      <c r="R105" s="41"/>
      <c r="S105" s="41"/>
      <c r="T105" s="41"/>
      <c r="U105" s="41"/>
      <c r="V105" s="41"/>
      <c r="W105" s="41"/>
      <c r="X105" s="41"/>
      <c r="Y105" s="41"/>
      <c r="Z105" s="41"/>
      <c r="AA105" s="41"/>
      <c r="AB105" s="41"/>
      <c r="AC105" s="41"/>
      <c r="AD105" s="41"/>
      <c r="AE105" s="41"/>
      <c r="AF105" s="41"/>
      <c r="AG105" s="41"/>
      <c r="AH105" s="41"/>
      <c r="AI105" s="41"/>
      <c r="AJ105" s="41"/>
      <c r="AK105" s="41"/>
      <c r="AL105" s="41"/>
      <c r="AM105" s="41"/>
      <c r="AN105" s="41"/>
      <c r="AO105" s="41"/>
      <c r="AP105" s="41"/>
      <c r="AQ105" s="41"/>
      <c r="AR105" s="41"/>
      <c r="AS105" s="41"/>
      <c r="AT105" s="41"/>
      <c r="AU105" s="41"/>
      <c r="AV105" s="41"/>
      <c r="AW105" s="41"/>
      <c r="AX105" s="41"/>
      <c r="AY105" s="41"/>
      <c r="AZ105" s="41"/>
      <c r="BA105" s="41"/>
      <c r="BB105" s="41"/>
      <c r="BC105" s="41"/>
      <c r="BD105" s="41"/>
      <c r="BE105" s="41"/>
      <c r="BF105" s="41"/>
      <c r="BG105" s="41"/>
      <c r="BH105" s="41"/>
      <c r="BI105" s="41"/>
      <c r="BJ105" s="41"/>
      <c r="BK105" s="41"/>
      <c r="BL105" s="41"/>
      <c r="BM105" s="41"/>
      <c r="BN105" s="41"/>
      <c r="BO105" s="41"/>
      <c r="BP105" s="41"/>
      <c r="BQ105" s="41"/>
      <c r="BR105" s="41"/>
      <c r="BS105" s="41"/>
      <c r="BT105" s="41"/>
      <c r="BU105" s="41"/>
      <c r="BV105" s="41"/>
      <c r="BW105" s="41"/>
      <c r="BX105" s="41"/>
      <c r="BY105" s="41"/>
      <c r="BZ105" s="41"/>
      <c r="CA105" s="41"/>
      <c r="CB105" s="41"/>
      <c r="CC105" s="41"/>
      <c r="CD105" s="41"/>
      <c r="CE105" s="41"/>
      <c r="CF105" s="41"/>
      <c r="CG105" s="41"/>
      <c r="CH105" s="41"/>
      <c r="CI105" s="41"/>
      <c r="CJ105" s="41"/>
      <c r="CK105" s="41"/>
      <c r="CL105" s="41"/>
      <c r="CM105" s="41"/>
      <c r="CN105" s="41"/>
      <c r="CO105" s="41"/>
      <c r="CP105" s="41"/>
      <c r="CQ105" s="41"/>
      <c r="CR105" s="41"/>
      <c r="CS105" s="41"/>
      <c r="CT105" s="41"/>
      <c r="CU105" s="41"/>
      <c r="CV105" s="41"/>
      <c r="CW105" s="41"/>
      <c r="CX105" s="41"/>
      <c r="CY105" s="41"/>
      <c r="CZ105" s="41"/>
      <c r="DA105" s="41"/>
      <c r="DB105" s="41"/>
      <c r="DC105" s="41"/>
      <c r="DD105" s="41"/>
      <c r="DE105" s="41"/>
      <c r="DF105" s="41"/>
      <c r="DG105" s="41"/>
      <c r="DH105" s="41"/>
      <c r="DI105" s="41"/>
      <c r="DJ105" s="41"/>
      <c r="DK105" s="41"/>
      <c r="DL105" s="41"/>
      <c r="DM105" s="41"/>
    </row>
    <row r="106" spans="1:117" s="25" customFormat="1" ht="72">
      <c r="A106" s="30">
        <v>7.17</v>
      </c>
      <c r="B106" s="7" t="s">
        <v>86</v>
      </c>
      <c r="C106" s="5">
        <v>2</v>
      </c>
      <c r="D106" s="5" t="s">
        <v>25</v>
      </c>
      <c r="E106" s="3">
        <v>0</v>
      </c>
      <c r="F106" s="121">
        <f t="shared" si="13"/>
        <v>0</v>
      </c>
      <c r="G106" s="141"/>
      <c r="H106" s="41"/>
      <c r="I106" s="41"/>
      <c r="J106" s="41"/>
      <c r="K106" s="41"/>
      <c r="L106" s="41"/>
      <c r="M106" s="41"/>
      <c r="N106" s="41"/>
      <c r="O106" s="41"/>
      <c r="P106" s="41"/>
      <c r="Q106" s="41"/>
      <c r="R106" s="41"/>
      <c r="S106" s="41"/>
      <c r="T106" s="41"/>
      <c r="U106" s="41"/>
      <c r="V106" s="41"/>
      <c r="W106" s="41"/>
      <c r="X106" s="41"/>
      <c r="Y106" s="41"/>
      <c r="Z106" s="41"/>
      <c r="AA106" s="41"/>
      <c r="AB106" s="41"/>
      <c r="AC106" s="41"/>
      <c r="AD106" s="41"/>
      <c r="AE106" s="41"/>
      <c r="AF106" s="41"/>
      <c r="AG106" s="41"/>
      <c r="AH106" s="41"/>
      <c r="AI106" s="41"/>
      <c r="AJ106" s="41"/>
      <c r="AK106" s="41"/>
      <c r="AL106" s="41"/>
      <c r="AM106" s="41"/>
      <c r="AN106" s="41"/>
      <c r="AO106" s="41"/>
      <c r="AP106" s="41"/>
      <c r="AQ106" s="41"/>
      <c r="AR106" s="41"/>
      <c r="AS106" s="41"/>
      <c r="AT106" s="41"/>
      <c r="AU106" s="41"/>
      <c r="AV106" s="41"/>
      <c r="AW106" s="41"/>
      <c r="AX106" s="41"/>
      <c r="AY106" s="41"/>
      <c r="AZ106" s="41"/>
      <c r="BA106" s="41"/>
      <c r="BB106" s="41"/>
      <c r="BC106" s="41"/>
      <c r="BD106" s="41"/>
      <c r="BE106" s="41"/>
      <c r="BF106" s="41"/>
      <c r="BG106" s="41"/>
      <c r="BH106" s="41"/>
      <c r="BI106" s="41"/>
      <c r="BJ106" s="41"/>
      <c r="BK106" s="41"/>
      <c r="BL106" s="41"/>
      <c r="BM106" s="41"/>
      <c r="BN106" s="41"/>
      <c r="BO106" s="41"/>
      <c r="BP106" s="41"/>
      <c r="BQ106" s="41"/>
      <c r="BR106" s="41"/>
      <c r="BS106" s="41"/>
      <c r="BT106" s="41"/>
      <c r="BU106" s="41"/>
      <c r="BV106" s="41"/>
      <c r="BW106" s="41"/>
      <c r="BX106" s="41"/>
      <c r="BY106" s="41"/>
      <c r="BZ106" s="41"/>
      <c r="CA106" s="41"/>
      <c r="CB106" s="41"/>
      <c r="CC106" s="41"/>
      <c r="CD106" s="41"/>
      <c r="CE106" s="41"/>
      <c r="CF106" s="41"/>
      <c r="CG106" s="41"/>
      <c r="CH106" s="41"/>
      <c r="CI106" s="41"/>
      <c r="CJ106" s="41"/>
      <c r="CK106" s="41"/>
      <c r="CL106" s="41"/>
      <c r="CM106" s="41"/>
      <c r="CN106" s="41"/>
      <c r="CO106" s="41"/>
      <c r="CP106" s="41"/>
      <c r="CQ106" s="41"/>
      <c r="CR106" s="41"/>
      <c r="CS106" s="41"/>
      <c r="CT106" s="41"/>
      <c r="CU106" s="41"/>
      <c r="CV106" s="41"/>
      <c r="CW106" s="41"/>
      <c r="CX106" s="41"/>
      <c r="CY106" s="41"/>
      <c r="CZ106" s="41"/>
      <c r="DA106" s="41"/>
      <c r="DB106" s="41"/>
      <c r="DC106" s="41"/>
      <c r="DD106" s="41"/>
      <c r="DE106" s="41"/>
      <c r="DF106" s="41"/>
      <c r="DG106" s="41"/>
      <c r="DH106" s="41"/>
      <c r="DI106" s="41"/>
      <c r="DJ106" s="41"/>
      <c r="DK106" s="41"/>
      <c r="DL106" s="41"/>
      <c r="DM106" s="41"/>
    </row>
    <row r="107" spans="1:117" s="25" customFormat="1" ht="72">
      <c r="A107" s="4">
        <v>7.18</v>
      </c>
      <c r="B107" s="7" t="s">
        <v>87</v>
      </c>
      <c r="C107" s="5">
        <v>1</v>
      </c>
      <c r="D107" s="5" t="s">
        <v>25</v>
      </c>
      <c r="E107" s="6">
        <v>0</v>
      </c>
      <c r="F107" s="121">
        <f t="shared" si="13"/>
        <v>0</v>
      </c>
      <c r="G107" s="141"/>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41"/>
      <c r="AS107" s="41"/>
      <c r="AT107" s="41"/>
      <c r="AU107" s="41"/>
      <c r="AV107" s="41"/>
      <c r="AW107" s="41"/>
      <c r="AX107" s="41"/>
      <c r="AY107" s="41"/>
      <c r="AZ107" s="41"/>
      <c r="BA107" s="41"/>
      <c r="BB107" s="41"/>
      <c r="BC107" s="41"/>
      <c r="BD107" s="41"/>
      <c r="BE107" s="41"/>
      <c r="BF107" s="41"/>
      <c r="BG107" s="41"/>
      <c r="BH107" s="41"/>
      <c r="BI107" s="41"/>
      <c r="BJ107" s="41"/>
      <c r="BK107" s="41"/>
      <c r="BL107" s="41"/>
      <c r="BM107" s="41"/>
      <c r="BN107" s="41"/>
      <c r="BO107" s="41"/>
      <c r="BP107" s="41"/>
      <c r="BQ107" s="41"/>
      <c r="BR107" s="41"/>
      <c r="BS107" s="41"/>
      <c r="BT107" s="41"/>
      <c r="BU107" s="41"/>
      <c r="BV107" s="41"/>
      <c r="BW107" s="41"/>
      <c r="BX107" s="41"/>
      <c r="BY107" s="41"/>
      <c r="BZ107" s="41"/>
      <c r="CA107" s="41"/>
      <c r="CB107" s="41"/>
      <c r="CC107" s="41"/>
      <c r="CD107" s="41"/>
      <c r="CE107" s="41"/>
      <c r="CF107" s="41"/>
      <c r="CG107" s="41"/>
      <c r="CH107" s="41"/>
      <c r="CI107" s="41"/>
      <c r="CJ107" s="41"/>
      <c r="CK107" s="41"/>
      <c r="CL107" s="41"/>
      <c r="CM107" s="41"/>
      <c r="CN107" s="41"/>
      <c r="CO107" s="41"/>
      <c r="CP107" s="41"/>
      <c r="CQ107" s="41"/>
      <c r="CR107" s="41"/>
      <c r="CS107" s="41"/>
      <c r="CT107" s="41"/>
      <c r="CU107" s="41"/>
      <c r="CV107" s="41"/>
      <c r="CW107" s="41"/>
      <c r="CX107" s="41"/>
      <c r="CY107" s="41"/>
      <c r="CZ107" s="41"/>
      <c r="DA107" s="41"/>
      <c r="DB107" s="41"/>
      <c r="DC107" s="41"/>
      <c r="DD107" s="41"/>
      <c r="DE107" s="41"/>
      <c r="DF107" s="41"/>
      <c r="DG107" s="41"/>
      <c r="DH107" s="41"/>
      <c r="DI107" s="41"/>
      <c r="DJ107" s="41"/>
      <c r="DK107" s="41"/>
      <c r="DL107" s="41"/>
      <c r="DM107" s="41"/>
    </row>
    <row r="108" spans="1:117" s="25" customFormat="1" ht="72">
      <c r="A108" s="4">
        <v>7.19</v>
      </c>
      <c r="B108" s="7" t="s">
        <v>88</v>
      </c>
      <c r="C108" s="5">
        <v>2</v>
      </c>
      <c r="D108" s="5" t="s">
        <v>25</v>
      </c>
      <c r="E108" s="6">
        <v>0</v>
      </c>
      <c r="F108" s="121">
        <f t="shared" si="13"/>
        <v>0</v>
      </c>
      <c r="G108" s="141"/>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41"/>
      <c r="AS108" s="41"/>
      <c r="AT108" s="41"/>
      <c r="AU108" s="41"/>
      <c r="AV108" s="41"/>
      <c r="AW108" s="41"/>
      <c r="AX108" s="41"/>
      <c r="AY108" s="41"/>
      <c r="AZ108" s="41"/>
      <c r="BA108" s="41"/>
      <c r="BB108" s="41"/>
      <c r="BC108" s="41"/>
      <c r="BD108" s="41"/>
      <c r="BE108" s="41"/>
      <c r="BF108" s="41"/>
      <c r="BG108" s="41"/>
      <c r="BH108" s="41"/>
      <c r="BI108" s="41"/>
      <c r="BJ108" s="41"/>
      <c r="BK108" s="41"/>
      <c r="BL108" s="41"/>
      <c r="BM108" s="41"/>
      <c r="BN108" s="41"/>
      <c r="BO108" s="41"/>
      <c r="BP108" s="41"/>
      <c r="BQ108" s="41"/>
      <c r="BR108" s="41"/>
      <c r="BS108" s="41"/>
      <c r="BT108" s="41"/>
      <c r="BU108" s="41"/>
      <c r="BV108" s="41"/>
      <c r="BW108" s="41"/>
      <c r="BX108" s="41"/>
      <c r="BY108" s="41"/>
      <c r="BZ108" s="41"/>
      <c r="CA108" s="41"/>
      <c r="CB108" s="41"/>
      <c r="CC108" s="41"/>
      <c r="CD108" s="41"/>
      <c r="CE108" s="41"/>
      <c r="CF108" s="41"/>
      <c r="CG108" s="41"/>
      <c r="CH108" s="41"/>
      <c r="CI108" s="41"/>
      <c r="CJ108" s="41"/>
      <c r="CK108" s="41"/>
      <c r="CL108" s="41"/>
      <c r="CM108" s="41"/>
      <c r="CN108" s="41"/>
      <c r="CO108" s="41"/>
      <c r="CP108" s="41"/>
      <c r="CQ108" s="41"/>
      <c r="CR108" s="41"/>
      <c r="CS108" s="41"/>
      <c r="CT108" s="41"/>
      <c r="CU108" s="41"/>
      <c r="CV108" s="41"/>
      <c r="CW108" s="41"/>
      <c r="CX108" s="41"/>
      <c r="CY108" s="41"/>
      <c r="CZ108" s="41"/>
      <c r="DA108" s="41"/>
      <c r="DB108" s="41"/>
      <c r="DC108" s="41"/>
      <c r="DD108" s="41"/>
      <c r="DE108" s="41"/>
      <c r="DF108" s="41"/>
      <c r="DG108" s="41"/>
      <c r="DH108" s="41"/>
      <c r="DI108" s="41"/>
      <c r="DJ108" s="41"/>
      <c r="DK108" s="41"/>
      <c r="DL108" s="41"/>
      <c r="DM108" s="41"/>
    </row>
    <row r="109" spans="1:117" s="26" customFormat="1" ht="72">
      <c r="A109" s="4">
        <v>7.2</v>
      </c>
      <c r="B109" s="7" t="s">
        <v>89</v>
      </c>
      <c r="C109" s="33">
        <v>1</v>
      </c>
      <c r="D109" s="33" t="s">
        <v>25</v>
      </c>
      <c r="E109" s="34">
        <v>0</v>
      </c>
      <c r="F109" s="121">
        <f t="shared" si="13"/>
        <v>0</v>
      </c>
      <c r="G109" s="1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2"/>
      <c r="CM109" s="42"/>
      <c r="CN109" s="42"/>
      <c r="CO109" s="42"/>
      <c r="CP109" s="42"/>
      <c r="CQ109" s="42"/>
      <c r="CR109" s="42"/>
      <c r="CS109" s="42"/>
      <c r="CT109" s="42"/>
      <c r="CU109" s="42"/>
      <c r="CV109" s="42"/>
      <c r="CW109" s="42"/>
      <c r="CX109" s="42"/>
      <c r="CY109" s="42"/>
      <c r="CZ109" s="42"/>
      <c r="DA109" s="42"/>
      <c r="DB109" s="42"/>
      <c r="DC109" s="42"/>
      <c r="DD109" s="42"/>
      <c r="DE109" s="42"/>
      <c r="DF109" s="42"/>
      <c r="DG109" s="42"/>
      <c r="DH109" s="42"/>
      <c r="DI109" s="42"/>
      <c r="DJ109" s="42"/>
      <c r="DK109" s="42"/>
      <c r="DL109" s="42"/>
      <c r="DM109" s="42"/>
    </row>
    <row r="110" spans="1:117" s="26" customFormat="1" ht="71.25">
      <c r="A110" s="4">
        <v>7.21</v>
      </c>
      <c r="B110" s="7" t="s">
        <v>295</v>
      </c>
      <c r="C110" s="33">
        <v>1</v>
      </c>
      <c r="D110" s="33" t="s">
        <v>25</v>
      </c>
      <c r="E110" s="34">
        <v>0</v>
      </c>
      <c r="F110" s="121">
        <f t="shared" si="13"/>
        <v>0</v>
      </c>
      <c r="G110" s="1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A110" s="42"/>
      <c r="BB110" s="42"/>
      <c r="BC110" s="42"/>
      <c r="BD110" s="42"/>
      <c r="BE110" s="42"/>
      <c r="BF110" s="42"/>
      <c r="BG110" s="42"/>
      <c r="BH110" s="42"/>
      <c r="BI110" s="42"/>
      <c r="BJ110" s="42"/>
      <c r="BK110" s="42"/>
      <c r="BL110" s="42"/>
      <c r="BM110" s="42"/>
      <c r="BN110" s="42"/>
      <c r="BO110" s="42"/>
      <c r="BP110" s="42"/>
      <c r="BQ110" s="42"/>
      <c r="BR110" s="42"/>
      <c r="BS110" s="42"/>
      <c r="BT110" s="42"/>
      <c r="BU110" s="42"/>
      <c r="BV110" s="42"/>
      <c r="BW110" s="42"/>
      <c r="BX110" s="42"/>
      <c r="BY110" s="42"/>
      <c r="BZ110" s="42"/>
      <c r="CA110" s="42"/>
      <c r="CB110" s="42"/>
      <c r="CC110" s="42"/>
      <c r="CD110" s="42"/>
      <c r="CE110" s="42"/>
      <c r="CF110" s="42"/>
      <c r="CG110" s="42"/>
      <c r="CH110" s="42"/>
      <c r="CI110" s="42"/>
      <c r="CJ110" s="42"/>
      <c r="CK110" s="42"/>
      <c r="CL110" s="42"/>
      <c r="CM110" s="42"/>
      <c r="CN110" s="42"/>
      <c r="CO110" s="42"/>
      <c r="CP110" s="42"/>
      <c r="CQ110" s="42"/>
      <c r="CR110" s="42"/>
      <c r="CS110" s="42"/>
      <c r="CT110" s="42"/>
      <c r="CU110" s="42"/>
      <c r="CV110" s="42"/>
      <c r="CW110" s="42"/>
      <c r="CX110" s="42"/>
      <c r="CY110" s="42"/>
      <c r="CZ110" s="42"/>
      <c r="DA110" s="42"/>
      <c r="DB110" s="42"/>
      <c r="DC110" s="42"/>
      <c r="DD110" s="42"/>
      <c r="DE110" s="42"/>
      <c r="DF110" s="42"/>
      <c r="DG110" s="42"/>
      <c r="DH110" s="42"/>
      <c r="DI110" s="42"/>
      <c r="DJ110" s="42"/>
      <c r="DK110" s="42"/>
      <c r="DL110" s="42"/>
      <c r="DM110" s="42"/>
    </row>
    <row r="111" spans="1:117" s="26" customFormat="1" ht="86.25">
      <c r="A111" s="32">
        <v>7.22</v>
      </c>
      <c r="B111" s="7" t="s">
        <v>90</v>
      </c>
      <c r="C111" s="33">
        <v>1</v>
      </c>
      <c r="D111" s="33" t="s">
        <v>25</v>
      </c>
      <c r="E111" s="34">
        <v>0</v>
      </c>
      <c r="F111" s="121">
        <f t="shared" si="13"/>
        <v>0</v>
      </c>
      <c r="G111" s="1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2"/>
      <c r="CM111" s="42"/>
      <c r="CN111" s="42"/>
      <c r="CO111" s="42"/>
      <c r="CP111" s="42"/>
      <c r="CQ111" s="42"/>
      <c r="CR111" s="42"/>
      <c r="CS111" s="42"/>
      <c r="CT111" s="42"/>
      <c r="CU111" s="42"/>
      <c r="CV111" s="42"/>
      <c r="CW111" s="42"/>
      <c r="CX111" s="42"/>
      <c r="CY111" s="42"/>
      <c r="CZ111" s="42"/>
      <c r="DA111" s="42"/>
      <c r="DB111" s="42"/>
      <c r="DC111" s="42"/>
      <c r="DD111" s="42"/>
      <c r="DE111" s="42"/>
      <c r="DF111" s="42"/>
      <c r="DG111" s="42"/>
      <c r="DH111" s="42"/>
      <c r="DI111" s="42"/>
      <c r="DJ111" s="42"/>
      <c r="DK111" s="42"/>
      <c r="DL111" s="42"/>
      <c r="DM111" s="42"/>
    </row>
    <row r="112" spans="1:117" s="26" customFormat="1" ht="86.25">
      <c r="A112" s="32">
        <v>7.23</v>
      </c>
      <c r="B112" s="7" t="s">
        <v>91</v>
      </c>
      <c r="C112" s="33">
        <v>1</v>
      </c>
      <c r="D112" s="33" t="s">
        <v>25</v>
      </c>
      <c r="E112" s="34">
        <v>0</v>
      </c>
      <c r="F112" s="121">
        <f t="shared" si="13"/>
        <v>0</v>
      </c>
      <c r="G112" s="1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row>
    <row r="113" spans="1:117" s="26" customFormat="1" ht="86.25">
      <c r="A113" s="32">
        <v>7.24</v>
      </c>
      <c r="B113" s="7" t="s">
        <v>92</v>
      </c>
      <c r="C113" s="33">
        <v>1</v>
      </c>
      <c r="D113" s="33" t="s">
        <v>25</v>
      </c>
      <c r="E113" s="34">
        <v>0</v>
      </c>
      <c r="F113" s="121">
        <f t="shared" si="13"/>
        <v>0</v>
      </c>
      <c r="G113" s="1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c r="AG113" s="42"/>
      <c r="AH113" s="42"/>
      <c r="AI113" s="42"/>
      <c r="AJ113" s="42"/>
      <c r="AK113" s="42"/>
      <c r="AL113" s="42"/>
      <c r="AM113" s="42"/>
      <c r="AN113" s="42"/>
      <c r="AO113" s="42"/>
      <c r="AP113" s="42"/>
      <c r="AQ113" s="42"/>
      <c r="AR113" s="42"/>
      <c r="AS113" s="42"/>
      <c r="AT113" s="42"/>
      <c r="AU113" s="42"/>
      <c r="AV113" s="42"/>
      <c r="AW113" s="42"/>
      <c r="AX113" s="42"/>
      <c r="AY113" s="42"/>
      <c r="AZ113" s="42"/>
      <c r="BA113" s="42"/>
      <c r="BB113" s="42"/>
      <c r="BC113" s="42"/>
      <c r="BD113" s="42"/>
      <c r="BE113" s="42"/>
      <c r="BF113" s="42"/>
      <c r="BG113" s="42"/>
      <c r="BH113" s="42"/>
      <c r="BI113" s="42"/>
      <c r="BJ113" s="42"/>
      <c r="BK113" s="42"/>
      <c r="BL113" s="42"/>
      <c r="BM113" s="42"/>
      <c r="BN113" s="42"/>
      <c r="BO113" s="42"/>
      <c r="BP113" s="42"/>
      <c r="BQ113" s="42"/>
      <c r="BR113" s="42"/>
      <c r="BS113" s="42"/>
      <c r="BT113" s="42"/>
      <c r="BU113" s="42"/>
      <c r="BV113" s="42"/>
      <c r="BW113" s="42"/>
      <c r="BX113" s="42"/>
      <c r="BY113" s="42"/>
      <c r="BZ113" s="42"/>
      <c r="CA113" s="42"/>
      <c r="CB113" s="42"/>
      <c r="CC113" s="42"/>
      <c r="CD113" s="42"/>
      <c r="CE113" s="42"/>
      <c r="CF113" s="42"/>
      <c r="CG113" s="42"/>
      <c r="CH113" s="42"/>
      <c r="CI113" s="42"/>
      <c r="CJ113" s="42"/>
      <c r="CK113" s="42"/>
      <c r="CL113" s="42"/>
      <c r="CM113" s="42"/>
      <c r="CN113" s="42"/>
      <c r="CO113" s="42"/>
      <c r="CP113" s="42"/>
      <c r="CQ113" s="42"/>
      <c r="CR113" s="42"/>
      <c r="CS113" s="42"/>
      <c r="CT113" s="42"/>
      <c r="CU113" s="42"/>
      <c r="CV113" s="42"/>
      <c r="CW113" s="42"/>
      <c r="CX113" s="42"/>
      <c r="CY113" s="42"/>
      <c r="CZ113" s="42"/>
      <c r="DA113" s="42"/>
      <c r="DB113" s="42"/>
      <c r="DC113" s="42"/>
      <c r="DD113" s="42"/>
      <c r="DE113" s="42"/>
      <c r="DF113" s="42"/>
      <c r="DG113" s="42"/>
      <c r="DH113" s="42"/>
      <c r="DI113" s="42"/>
      <c r="DJ113" s="42"/>
      <c r="DK113" s="42"/>
      <c r="DL113" s="42"/>
      <c r="DM113" s="42"/>
    </row>
    <row r="114" spans="1:117" ht="86.25">
      <c r="A114" s="32">
        <v>7.25</v>
      </c>
      <c r="B114" s="7" t="s">
        <v>93</v>
      </c>
      <c r="C114" s="5">
        <v>1</v>
      </c>
      <c r="D114" s="5" t="s">
        <v>25</v>
      </c>
      <c r="E114" s="20">
        <v>0</v>
      </c>
      <c r="F114" s="121">
        <f t="shared" si="13"/>
        <v>0</v>
      </c>
    </row>
    <row r="115" spans="1:117" ht="57">
      <c r="A115" s="4">
        <v>7.26</v>
      </c>
      <c r="B115" s="1" t="s">
        <v>403</v>
      </c>
      <c r="C115" s="5">
        <v>6</v>
      </c>
      <c r="D115" s="5" t="s">
        <v>25</v>
      </c>
      <c r="E115" s="3">
        <v>0</v>
      </c>
      <c r="F115" s="121">
        <f t="shared" si="13"/>
        <v>0</v>
      </c>
    </row>
    <row r="116" spans="1:117" ht="57">
      <c r="A116" s="5">
        <v>7.27</v>
      </c>
      <c r="B116" s="1" t="s">
        <v>404</v>
      </c>
      <c r="C116" s="13">
        <v>6</v>
      </c>
      <c r="D116" s="5" t="s">
        <v>25</v>
      </c>
      <c r="E116" s="21">
        <v>0</v>
      </c>
      <c r="F116" s="121">
        <f t="shared" si="13"/>
        <v>0</v>
      </c>
    </row>
    <row r="117" spans="1:117" ht="57">
      <c r="A117" s="32">
        <v>7.28</v>
      </c>
      <c r="B117" s="1" t="s">
        <v>405</v>
      </c>
      <c r="C117" s="13">
        <v>6</v>
      </c>
      <c r="D117" s="5" t="s">
        <v>25</v>
      </c>
      <c r="E117" s="21">
        <v>0</v>
      </c>
      <c r="F117" s="121">
        <f t="shared" si="13"/>
        <v>0</v>
      </c>
    </row>
    <row r="118" spans="1:117" ht="57">
      <c r="A118" s="32">
        <v>7.29</v>
      </c>
      <c r="B118" s="1" t="s">
        <v>406</v>
      </c>
      <c r="C118" s="13">
        <v>14</v>
      </c>
      <c r="D118" s="5" t="s">
        <v>25</v>
      </c>
      <c r="E118" s="21">
        <v>0</v>
      </c>
      <c r="F118" s="121">
        <f t="shared" si="13"/>
        <v>0</v>
      </c>
    </row>
    <row r="119" spans="1:117" ht="57">
      <c r="A119" s="32">
        <v>7.3</v>
      </c>
      <c r="B119" s="1" t="s">
        <v>407</v>
      </c>
      <c r="C119" s="13">
        <v>9</v>
      </c>
      <c r="D119" s="5" t="s">
        <v>25</v>
      </c>
      <c r="E119" s="21">
        <v>0</v>
      </c>
      <c r="F119" s="121">
        <f t="shared" si="13"/>
        <v>0</v>
      </c>
    </row>
    <row r="120" spans="1:117" ht="28.5">
      <c r="A120" s="32">
        <v>7.31</v>
      </c>
      <c r="B120" s="1" t="s">
        <v>296</v>
      </c>
      <c r="C120" s="13">
        <v>610</v>
      </c>
      <c r="D120" s="5" t="s">
        <v>112</v>
      </c>
      <c r="E120" s="21"/>
      <c r="F120" s="121"/>
    </row>
    <row r="121" spans="1:117">
      <c r="A121" s="4">
        <v>7.32</v>
      </c>
      <c r="B121" s="1" t="s">
        <v>34</v>
      </c>
      <c r="C121" s="5">
        <v>1</v>
      </c>
      <c r="D121" s="5" t="s">
        <v>25</v>
      </c>
      <c r="E121" s="6">
        <v>0</v>
      </c>
      <c r="F121" s="121">
        <f t="shared" si="13"/>
        <v>0</v>
      </c>
    </row>
    <row r="122" spans="1:117" ht="15">
      <c r="A122" s="176" t="s">
        <v>35</v>
      </c>
      <c r="B122" s="187"/>
      <c r="C122" s="187"/>
      <c r="D122" s="187"/>
      <c r="E122" s="187"/>
      <c r="F122" s="119">
        <f>SUM(F90:F121)</f>
        <v>0</v>
      </c>
    </row>
    <row r="123" spans="1:117">
      <c r="A123" s="174"/>
      <c r="B123" s="174"/>
      <c r="C123" s="174"/>
      <c r="D123" s="174"/>
      <c r="E123" s="174"/>
      <c r="F123" s="174"/>
    </row>
    <row r="124" spans="1:117">
      <c r="A124" s="5">
        <v>8</v>
      </c>
      <c r="B124" s="174" t="s">
        <v>52</v>
      </c>
      <c r="C124" s="174"/>
      <c r="D124" s="174"/>
      <c r="E124" s="174"/>
      <c r="F124" s="174"/>
    </row>
    <row r="125" spans="1:117" ht="46.15" customHeight="1">
      <c r="A125" s="30">
        <v>8.01</v>
      </c>
      <c r="B125" s="37" t="s">
        <v>124</v>
      </c>
      <c r="C125" s="35">
        <v>185</v>
      </c>
      <c r="D125" s="35" t="s">
        <v>21</v>
      </c>
      <c r="E125" s="3">
        <v>375</v>
      </c>
      <c r="F125" s="121">
        <f t="shared" ref="F125:F131" si="14">C125*E125</f>
        <v>69375</v>
      </c>
    </row>
    <row r="126" spans="1:117" ht="46.15" customHeight="1">
      <c r="A126" s="30">
        <v>8.02</v>
      </c>
      <c r="B126" s="37" t="s">
        <v>125</v>
      </c>
      <c r="C126" s="35">
        <v>36</v>
      </c>
      <c r="D126" s="35" t="s">
        <v>21</v>
      </c>
      <c r="E126" s="3">
        <v>275</v>
      </c>
      <c r="F126" s="121">
        <f t="shared" si="14"/>
        <v>9900</v>
      </c>
    </row>
    <row r="127" spans="1:117" ht="72">
      <c r="A127" s="30">
        <v>8.0299999999999994</v>
      </c>
      <c r="B127" s="7" t="s">
        <v>94</v>
      </c>
      <c r="C127" s="5">
        <v>2</v>
      </c>
      <c r="D127" s="5" t="s">
        <v>25</v>
      </c>
      <c r="E127" s="40">
        <v>475</v>
      </c>
      <c r="F127" s="121">
        <f t="shared" si="14"/>
        <v>950</v>
      </c>
    </row>
    <row r="128" spans="1:117" ht="71.25">
      <c r="A128" s="30">
        <v>8.0399999999999991</v>
      </c>
      <c r="B128" s="7" t="s">
        <v>126</v>
      </c>
      <c r="C128" s="5">
        <v>2</v>
      </c>
      <c r="D128" s="5" t="s">
        <v>25</v>
      </c>
      <c r="E128" s="40">
        <v>650</v>
      </c>
      <c r="F128" s="121">
        <f t="shared" si="14"/>
        <v>1300</v>
      </c>
    </row>
    <row r="129" spans="1:117" ht="87">
      <c r="A129" s="30">
        <v>8.0500000000000007</v>
      </c>
      <c r="B129" s="37" t="s">
        <v>95</v>
      </c>
      <c r="C129" s="5">
        <v>1</v>
      </c>
      <c r="D129" s="5" t="s">
        <v>25</v>
      </c>
      <c r="E129" s="40">
        <v>3500</v>
      </c>
      <c r="F129" s="121">
        <f t="shared" si="14"/>
        <v>3500</v>
      </c>
    </row>
    <row r="130" spans="1:117" ht="72">
      <c r="A130" s="30">
        <v>8.06</v>
      </c>
      <c r="B130" s="7" t="s">
        <v>96</v>
      </c>
      <c r="C130" s="5">
        <v>4</v>
      </c>
      <c r="D130" s="5" t="s">
        <v>25</v>
      </c>
      <c r="E130" s="40">
        <v>2500</v>
      </c>
      <c r="F130" s="121">
        <f t="shared" ref="F130" si="15">C130*E130</f>
        <v>10000</v>
      </c>
    </row>
    <row r="131" spans="1:117" ht="85.5">
      <c r="A131" s="30">
        <v>8.07</v>
      </c>
      <c r="B131" s="7" t="s">
        <v>127</v>
      </c>
      <c r="C131" s="5">
        <v>1</v>
      </c>
      <c r="D131" s="5" t="s">
        <v>25</v>
      </c>
      <c r="E131" s="40">
        <v>6500</v>
      </c>
      <c r="F131" s="121">
        <f t="shared" si="14"/>
        <v>6500</v>
      </c>
    </row>
    <row r="132" spans="1:117" ht="15">
      <c r="A132" s="176" t="s">
        <v>36</v>
      </c>
      <c r="B132" s="176"/>
      <c r="C132" s="176"/>
      <c r="D132" s="176"/>
      <c r="E132" s="176"/>
      <c r="F132" s="119">
        <f>SUM(F125:F131)</f>
        <v>101525</v>
      </c>
    </row>
    <row r="133" spans="1:117">
      <c r="A133" s="174"/>
      <c r="B133" s="174"/>
      <c r="C133" s="174"/>
      <c r="D133" s="174"/>
      <c r="E133" s="174"/>
      <c r="F133" s="174"/>
    </row>
    <row r="134" spans="1:117">
      <c r="A134" s="5">
        <v>9</v>
      </c>
      <c r="B134" s="17" t="s">
        <v>37</v>
      </c>
      <c r="C134" s="17"/>
      <c r="D134" s="17"/>
      <c r="E134" s="24"/>
      <c r="F134" s="122"/>
    </row>
    <row r="135" spans="1:117" ht="42.75">
      <c r="A135" s="5">
        <v>9.01</v>
      </c>
      <c r="B135" s="7" t="s">
        <v>369</v>
      </c>
      <c r="C135" s="5">
        <v>4</v>
      </c>
      <c r="D135" s="5" t="s">
        <v>25</v>
      </c>
      <c r="E135" s="24">
        <v>450</v>
      </c>
      <c r="F135" s="122">
        <f>C135*E135</f>
        <v>1800</v>
      </c>
      <c r="G135" s="143"/>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row>
    <row r="136" spans="1:117" ht="42.75">
      <c r="A136" s="5">
        <v>9.02</v>
      </c>
      <c r="B136" s="7" t="s">
        <v>370</v>
      </c>
      <c r="C136" s="5">
        <v>1</v>
      </c>
      <c r="D136" s="5" t="s">
        <v>25</v>
      </c>
      <c r="E136" s="24">
        <v>450</v>
      </c>
      <c r="F136" s="122">
        <f t="shared" ref="F136:F143" si="16">C136*E136</f>
        <v>450</v>
      </c>
      <c r="G136" s="143"/>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row>
    <row r="137" spans="1:117" ht="42.75">
      <c r="A137" s="5">
        <v>9.0299999999999994</v>
      </c>
      <c r="B137" s="7" t="s">
        <v>371</v>
      </c>
      <c r="C137" s="5">
        <v>1</v>
      </c>
      <c r="D137" s="5" t="s">
        <v>25</v>
      </c>
      <c r="E137" s="3">
        <v>450</v>
      </c>
      <c r="F137" s="122">
        <f t="shared" si="16"/>
        <v>450</v>
      </c>
      <c r="G137" s="143"/>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row>
    <row r="138" spans="1:117" ht="43.5">
      <c r="A138" s="5">
        <v>9.0399999999999991</v>
      </c>
      <c r="B138" s="7" t="s">
        <v>372</v>
      </c>
      <c r="C138" s="5">
        <v>1</v>
      </c>
      <c r="D138" s="5" t="s">
        <v>25</v>
      </c>
      <c r="E138" s="3">
        <v>450</v>
      </c>
      <c r="F138" s="122">
        <f t="shared" si="16"/>
        <v>450</v>
      </c>
    </row>
    <row r="139" spans="1:117" ht="72">
      <c r="A139" s="5">
        <v>9.0500000000000007</v>
      </c>
      <c r="B139" s="7" t="s">
        <v>373</v>
      </c>
      <c r="C139" s="5">
        <v>3</v>
      </c>
      <c r="D139" s="5" t="s">
        <v>25</v>
      </c>
      <c r="E139" s="3">
        <v>3500</v>
      </c>
      <c r="F139" s="122">
        <f t="shared" si="16"/>
        <v>10500</v>
      </c>
    </row>
    <row r="140" spans="1:117" ht="71.25">
      <c r="A140" s="5">
        <v>9.06</v>
      </c>
      <c r="B140" s="7" t="s">
        <v>298</v>
      </c>
      <c r="C140" s="33">
        <v>1</v>
      </c>
      <c r="D140" s="5" t="s">
        <v>25</v>
      </c>
      <c r="E140" s="3">
        <v>7500</v>
      </c>
      <c r="F140" s="122">
        <f t="shared" si="16"/>
        <v>7500</v>
      </c>
    </row>
    <row r="141" spans="1:117" ht="71.25">
      <c r="A141" s="5">
        <v>9.07</v>
      </c>
      <c r="B141" s="7" t="s">
        <v>129</v>
      </c>
      <c r="C141" s="5">
        <v>2</v>
      </c>
      <c r="D141" s="5" t="s">
        <v>25</v>
      </c>
      <c r="E141" s="3">
        <v>2200</v>
      </c>
      <c r="F141" s="122">
        <f t="shared" si="16"/>
        <v>4400</v>
      </c>
    </row>
    <row r="142" spans="1:117" ht="71.25">
      <c r="A142" s="5">
        <v>9.08</v>
      </c>
      <c r="B142" s="7" t="s">
        <v>128</v>
      </c>
      <c r="C142" s="5">
        <v>1</v>
      </c>
      <c r="D142" s="5" t="s">
        <v>25</v>
      </c>
      <c r="E142" s="3">
        <v>2200</v>
      </c>
      <c r="F142" s="122">
        <f t="shared" si="16"/>
        <v>2200</v>
      </c>
    </row>
    <row r="143" spans="1:117" ht="42.75">
      <c r="A143" s="5">
        <v>9.09</v>
      </c>
      <c r="B143" s="7" t="s">
        <v>374</v>
      </c>
      <c r="C143" s="5">
        <v>1</v>
      </c>
      <c r="D143" s="5" t="s">
        <v>25</v>
      </c>
      <c r="E143" s="3">
        <v>450</v>
      </c>
      <c r="F143" s="122">
        <f t="shared" si="16"/>
        <v>450</v>
      </c>
    </row>
    <row r="144" spans="1:117" ht="15">
      <c r="A144" s="176" t="s">
        <v>38</v>
      </c>
      <c r="B144" s="176"/>
      <c r="C144" s="176"/>
      <c r="D144" s="176"/>
      <c r="E144" s="176"/>
      <c r="F144" s="119">
        <f>SUM(F135:F143)</f>
        <v>28200</v>
      </c>
    </row>
    <row r="145" spans="1:6">
      <c r="A145" s="17"/>
      <c r="B145" s="17"/>
      <c r="C145" s="17"/>
      <c r="D145" s="17"/>
      <c r="E145" s="24"/>
      <c r="F145" s="122"/>
    </row>
    <row r="146" spans="1:6">
      <c r="A146" s="5">
        <v>10</v>
      </c>
      <c r="B146" s="17" t="s">
        <v>39</v>
      </c>
      <c r="C146" s="17"/>
      <c r="D146" s="17"/>
      <c r="E146" s="24"/>
      <c r="F146" s="122"/>
    </row>
    <row r="147" spans="1:6" ht="28.5">
      <c r="A147" s="5">
        <v>10.01</v>
      </c>
      <c r="B147" s="7" t="s">
        <v>300</v>
      </c>
      <c r="C147" s="5">
        <v>104</v>
      </c>
      <c r="D147" s="5" t="s">
        <v>25</v>
      </c>
      <c r="E147" s="3">
        <v>490</v>
      </c>
      <c r="F147" s="121">
        <f>C147*E147</f>
        <v>50960</v>
      </c>
    </row>
    <row r="148" spans="1:6" ht="28.5">
      <c r="A148" s="5">
        <v>10.02</v>
      </c>
      <c r="B148" s="7" t="s">
        <v>299</v>
      </c>
      <c r="C148" s="5">
        <v>21</v>
      </c>
      <c r="D148" s="5" t="s">
        <v>25</v>
      </c>
      <c r="E148" s="3">
        <v>480</v>
      </c>
      <c r="F148" s="121">
        <f>C148*E148</f>
        <v>10080</v>
      </c>
    </row>
    <row r="149" spans="1:6" ht="29.25">
      <c r="A149" s="5">
        <v>10.029999999999999</v>
      </c>
      <c r="B149" s="7" t="s">
        <v>60</v>
      </c>
      <c r="C149" s="5">
        <v>52</v>
      </c>
      <c r="D149" s="5" t="s">
        <v>25</v>
      </c>
      <c r="E149" s="3">
        <v>750</v>
      </c>
      <c r="F149" s="121">
        <f t="shared" ref="F149:F157" si="17">C149*E149</f>
        <v>39000</v>
      </c>
    </row>
    <row r="150" spans="1:6" ht="29.25">
      <c r="A150" s="5">
        <v>10.039999999999999</v>
      </c>
      <c r="B150" s="7" t="s">
        <v>97</v>
      </c>
      <c r="C150" s="5">
        <v>10</v>
      </c>
      <c r="D150" s="5" t="s">
        <v>25</v>
      </c>
      <c r="E150" s="3">
        <v>370</v>
      </c>
      <c r="F150" s="121">
        <f t="shared" si="17"/>
        <v>3700</v>
      </c>
    </row>
    <row r="151" spans="1:6" ht="15">
      <c r="A151" s="5">
        <v>10.050000000000001</v>
      </c>
      <c r="B151" s="7" t="s">
        <v>61</v>
      </c>
      <c r="C151" s="5">
        <v>43</v>
      </c>
      <c r="D151" s="5" t="s">
        <v>25</v>
      </c>
      <c r="E151" s="3">
        <v>260</v>
      </c>
      <c r="F151" s="121">
        <f t="shared" si="17"/>
        <v>11180</v>
      </c>
    </row>
    <row r="152" spans="1:6" ht="15">
      <c r="A152" s="5">
        <v>10.06</v>
      </c>
      <c r="B152" s="7" t="s">
        <v>98</v>
      </c>
      <c r="C152" s="5">
        <v>2</v>
      </c>
      <c r="D152" s="5" t="s">
        <v>25</v>
      </c>
      <c r="E152" s="3">
        <v>295</v>
      </c>
      <c r="F152" s="121">
        <f t="shared" si="17"/>
        <v>590</v>
      </c>
    </row>
    <row r="153" spans="1:6" ht="29.25">
      <c r="A153" s="5">
        <v>10.07</v>
      </c>
      <c r="B153" s="7" t="s">
        <v>99</v>
      </c>
      <c r="C153" s="5">
        <v>12</v>
      </c>
      <c r="D153" s="5" t="s">
        <v>25</v>
      </c>
      <c r="E153" s="3">
        <v>225</v>
      </c>
      <c r="F153" s="121">
        <f>C153*E153</f>
        <v>2700</v>
      </c>
    </row>
    <row r="154" spans="1:6" ht="15">
      <c r="A154" s="5">
        <v>10.8</v>
      </c>
      <c r="B154" s="7" t="s">
        <v>100</v>
      </c>
      <c r="C154" s="5">
        <v>8</v>
      </c>
      <c r="D154" s="5" t="s">
        <v>25</v>
      </c>
      <c r="E154" s="3">
        <v>410</v>
      </c>
      <c r="F154" s="121">
        <f>C154*E154</f>
        <v>3280</v>
      </c>
    </row>
    <row r="155" spans="1:6" ht="29.25">
      <c r="A155" s="5">
        <v>10.09</v>
      </c>
      <c r="B155" s="7" t="s">
        <v>101</v>
      </c>
      <c r="C155" s="5">
        <v>189</v>
      </c>
      <c r="D155" s="5" t="s">
        <v>21</v>
      </c>
      <c r="E155" s="3">
        <v>65</v>
      </c>
      <c r="F155" s="121">
        <f t="shared" si="17"/>
        <v>12285</v>
      </c>
    </row>
    <row r="156" spans="1:6" ht="28.5">
      <c r="A156" s="5">
        <v>10.1</v>
      </c>
      <c r="B156" s="7" t="s">
        <v>395</v>
      </c>
      <c r="C156" s="5">
        <v>10</v>
      </c>
      <c r="D156" s="5" t="s">
        <v>25</v>
      </c>
      <c r="E156" s="3">
        <v>380</v>
      </c>
      <c r="F156" s="121">
        <f t="shared" si="17"/>
        <v>3800</v>
      </c>
    </row>
    <row r="157" spans="1:6">
      <c r="A157" s="4">
        <v>10.11</v>
      </c>
      <c r="B157" s="7" t="s">
        <v>56</v>
      </c>
      <c r="C157" s="5">
        <v>1</v>
      </c>
      <c r="D157" s="5" t="s">
        <v>25</v>
      </c>
      <c r="E157" s="3">
        <v>600</v>
      </c>
      <c r="F157" s="121">
        <f t="shared" si="17"/>
        <v>600</v>
      </c>
    </row>
    <row r="158" spans="1:6" ht="15">
      <c r="A158" s="176" t="s">
        <v>40</v>
      </c>
      <c r="B158" s="176"/>
      <c r="C158" s="176"/>
      <c r="D158" s="176"/>
      <c r="E158" s="176"/>
      <c r="F158" s="123">
        <f>SUM(F147:F157)</f>
        <v>138175</v>
      </c>
    </row>
    <row r="159" spans="1:6">
      <c r="A159" s="17"/>
      <c r="B159" s="17"/>
      <c r="C159" s="17"/>
      <c r="D159" s="17"/>
      <c r="E159" s="19"/>
      <c r="F159" s="120"/>
    </row>
    <row r="160" spans="1:6">
      <c r="A160" s="13">
        <v>11</v>
      </c>
      <c r="B160" s="14" t="s">
        <v>44</v>
      </c>
      <c r="C160" s="14"/>
      <c r="D160" s="14"/>
      <c r="E160" s="15"/>
      <c r="F160" s="124"/>
    </row>
    <row r="161" spans="1:7" ht="42.75">
      <c r="A161" s="13">
        <v>11.01</v>
      </c>
      <c r="B161" s="144" t="s">
        <v>378</v>
      </c>
      <c r="C161" s="5">
        <v>1</v>
      </c>
      <c r="D161" s="5" t="s">
        <v>25</v>
      </c>
      <c r="E161" s="15"/>
      <c r="F161" s="124"/>
    </row>
    <row r="162" spans="1:7" ht="28.5">
      <c r="A162" s="13">
        <v>11.02</v>
      </c>
      <c r="B162" s="7" t="s">
        <v>53</v>
      </c>
      <c r="C162" s="5">
        <v>1</v>
      </c>
      <c r="D162" s="5" t="s">
        <v>25</v>
      </c>
      <c r="E162" s="16">
        <v>3200</v>
      </c>
      <c r="F162" s="125">
        <f t="shared" ref="F162:F170" si="18">C162*E162</f>
        <v>3200</v>
      </c>
    </row>
    <row r="163" spans="1:7">
      <c r="A163" s="13">
        <v>11.03</v>
      </c>
      <c r="B163" s="17" t="s">
        <v>102</v>
      </c>
      <c r="C163" s="5">
        <v>1</v>
      </c>
      <c r="D163" s="5" t="s">
        <v>25</v>
      </c>
      <c r="E163" s="16">
        <v>2500</v>
      </c>
      <c r="F163" s="125">
        <f t="shared" si="18"/>
        <v>2500</v>
      </c>
    </row>
    <row r="164" spans="1:7" ht="28.5">
      <c r="A164" s="4">
        <v>11.04</v>
      </c>
      <c r="B164" s="7" t="s">
        <v>103</v>
      </c>
      <c r="C164" s="5">
        <v>1</v>
      </c>
      <c r="D164" s="5" t="s">
        <v>25</v>
      </c>
      <c r="E164" s="3">
        <v>1800</v>
      </c>
      <c r="F164" s="125">
        <f t="shared" si="18"/>
        <v>1800</v>
      </c>
    </row>
    <row r="165" spans="1:7">
      <c r="A165" s="4">
        <v>11.05</v>
      </c>
      <c r="B165" s="7" t="s">
        <v>375</v>
      </c>
      <c r="C165" s="5">
        <v>8</v>
      </c>
      <c r="D165" s="5" t="s">
        <v>25</v>
      </c>
      <c r="E165" s="3">
        <v>650</v>
      </c>
      <c r="F165" s="125">
        <f t="shared" si="18"/>
        <v>5200</v>
      </c>
    </row>
    <row r="166" spans="1:7" ht="28.5">
      <c r="A166" s="4">
        <v>11.06</v>
      </c>
      <c r="B166" s="7" t="s">
        <v>376</v>
      </c>
      <c r="C166" s="5">
        <v>8</v>
      </c>
      <c r="D166" s="5" t="s">
        <v>25</v>
      </c>
      <c r="E166" s="3">
        <v>1800</v>
      </c>
      <c r="F166" s="125">
        <f t="shared" si="18"/>
        <v>14400</v>
      </c>
    </row>
    <row r="167" spans="1:7">
      <c r="A167" s="4">
        <v>11.07</v>
      </c>
      <c r="B167" s="7" t="s">
        <v>377</v>
      </c>
      <c r="C167" s="5">
        <v>8</v>
      </c>
      <c r="D167" s="5" t="s">
        <v>25</v>
      </c>
      <c r="E167" s="3">
        <v>1800</v>
      </c>
      <c r="F167" s="125">
        <f t="shared" si="18"/>
        <v>14400</v>
      </c>
    </row>
    <row r="168" spans="1:7">
      <c r="A168" s="4">
        <v>11.08</v>
      </c>
      <c r="B168" s="7" t="s">
        <v>379</v>
      </c>
      <c r="C168" s="5">
        <v>4</v>
      </c>
      <c r="D168" s="5" t="s">
        <v>25</v>
      </c>
      <c r="E168" s="3">
        <v>1800</v>
      </c>
      <c r="F168" s="125">
        <f t="shared" si="18"/>
        <v>7200</v>
      </c>
    </row>
    <row r="169" spans="1:7">
      <c r="A169" s="4">
        <v>11.09</v>
      </c>
      <c r="B169" s="7" t="s">
        <v>380</v>
      </c>
      <c r="C169" s="5">
        <v>1</v>
      </c>
      <c r="D169" s="5" t="s">
        <v>25</v>
      </c>
      <c r="E169" s="3">
        <v>475</v>
      </c>
      <c r="F169" s="125">
        <f t="shared" si="18"/>
        <v>475</v>
      </c>
    </row>
    <row r="170" spans="1:7" ht="28.5">
      <c r="A170" s="4">
        <v>11.1</v>
      </c>
      <c r="B170" s="7" t="s">
        <v>381</v>
      </c>
      <c r="C170" s="5">
        <v>2</v>
      </c>
      <c r="D170" s="5" t="s">
        <v>25</v>
      </c>
      <c r="E170" s="3">
        <v>235</v>
      </c>
      <c r="F170" s="125">
        <f t="shared" si="18"/>
        <v>470</v>
      </c>
    </row>
    <row r="171" spans="1:7" ht="15">
      <c r="A171" s="176" t="s">
        <v>41</v>
      </c>
      <c r="B171" s="176"/>
      <c r="C171" s="176"/>
      <c r="D171" s="176"/>
      <c r="E171" s="176"/>
      <c r="F171" s="123">
        <f>SUM(F162:F164)</f>
        <v>7500</v>
      </c>
    </row>
    <row r="172" spans="1:7" ht="15">
      <c r="A172" s="22"/>
      <c r="B172" s="176"/>
      <c r="C172" s="176"/>
      <c r="D172" s="176"/>
      <c r="E172" s="176"/>
      <c r="F172" s="123"/>
    </row>
    <row r="173" spans="1:7" s="149" customFormat="1">
      <c r="A173" s="147">
        <v>12</v>
      </c>
      <c r="B173" s="150" t="s">
        <v>62</v>
      </c>
      <c r="C173" s="150"/>
      <c r="D173" s="150"/>
      <c r="E173" s="151"/>
      <c r="F173" s="152"/>
      <c r="G173" s="148"/>
    </row>
    <row r="174" spans="1:7" ht="71.25">
      <c r="A174" s="13">
        <v>12.1</v>
      </c>
      <c r="B174" s="37" t="s">
        <v>408</v>
      </c>
      <c r="C174" s="14">
        <v>1</v>
      </c>
      <c r="D174" s="14" t="s">
        <v>25</v>
      </c>
      <c r="E174" s="15" t="s">
        <v>59</v>
      </c>
      <c r="F174" s="124"/>
    </row>
    <row r="175" spans="1:7" ht="57.75">
      <c r="A175" s="13">
        <v>12.2</v>
      </c>
      <c r="B175" s="37" t="s">
        <v>104</v>
      </c>
      <c r="C175" s="13">
        <v>1</v>
      </c>
      <c r="D175" s="5" t="s">
        <v>25</v>
      </c>
      <c r="E175" s="2" t="s">
        <v>59</v>
      </c>
      <c r="F175" s="125"/>
    </row>
    <row r="176" spans="1:7" ht="57.75">
      <c r="A176" s="13">
        <v>12.3</v>
      </c>
      <c r="B176" s="37" t="s">
        <v>105</v>
      </c>
      <c r="C176" s="13">
        <v>1</v>
      </c>
      <c r="D176" s="5" t="s">
        <v>25</v>
      </c>
      <c r="E176" s="2" t="s">
        <v>59</v>
      </c>
      <c r="F176" s="125"/>
    </row>
    <row r="177" spans="1:6" ht="57">
      <c r="A177" s="13">
        <v>12.4</v>
      </c>
      <c r="B177" s="37" t="s">
        <v>409</v>
      </c>
      <c r="C177" s="13">
        <v>1</v>
      </c>
      <c r="D177" s="5" t="s">
        <v>25</v>
      </c>
      <c r="E177" s="2" t="s">
        <v>59</v>
      </c>
      <c r="F177" s="125"/>
    </row>
    <row r="178" spans="1:6" ht="57">
      <c r="A178" s="13">
        <v>12.5</v>
      </c>
      <c r="B178" s="37" t="s">
        <v>410</v>
      </c>
      <c r="C178" s="13">
        <v>1</v>
      </c>
      <c r="D178" s="5" t="s">
        <v>25</v>
      </c>
      <c r="E178" s="2" t="s">
        <v>59</v>
      </c>
      <c r="F178" s="125"/>
    </row>
    <row r="179" spans="1:6" ht="15">
      <c r="A179" s="176" t="s">
        <v>46</v>
      </c>
      <c r="B179" s="176"/>
      <c r="C179" s="176"/>
      <c r="D179" s="176"/>
      <c r="E179" s="176"/>
      <c r="F179" s="123">
        <f>SUM(F175:F178)</f>
        <v>0</v>
      </c>
    </row>
    <row r="180" spans="1:6" ht="15">
      <c r="A180" s="22"/>
      <c r="B180" s="176"/>
      <c r="C180" s="176"/>
      <c r="D180" s="176"/>
      <c r="E180" s="176"/>
      <c r="F180" s="123"/>
    </row>
    <row r="181" spans="1:6">
      <c r="A181" s="13">
        <v>13</v>
      </c>
      <c r="B181" s="14" t="s">
        <v>107</v>
      </c>
      <c r="C181" s="14"/>
      <c r="D181" s="14"/>
      <c r="E181" s="15"/>
      <c r="F181" s="124"/>
    </row>
    <row r="182" spans="1:6" ht="71.25">
      <c r="A182" s="13">
        <v>13.01</v>
      </c>
      <c r="B182" s="37" t="s">
        <v>277</v>
      </c>
      <c r="C182" s="35">
        <v>424</v>
      </c>
      <c r="D182" s="5" t="s">
        <v>43</v>
      </c>
      <c r="E182" s="36">
        <v>450</v>
      </c>
      <c r="F182" s="126">
        <f>C182*E182</f>
        <v>190800</v>
      </c>
    </row>
    <row r="183" spans="1:6" ht="57">
      <c r="A183" s="30">
        <v>13.02</v>
      </c>
      <c r="B183" s="37" t="s">
        <v>278</v>
      </c>
      <c r="C183" s="35">
        <v>9</v>
      </c>
      <c r="D183" s="30" t="s">
        <v>20</v>
      </c>
      <c r="E183" s="3">
        <v>375</v>
      </c>
      <c r="F183" s="126">
        <f t="shared" ref="F183:F187" si="19">C183*E183</f>
        <v>3375</v>
      </c>
    </row>
    <row r="184" spans="1:6" ht="71.25">
      <c r="A184" s="30">
        <v>13.03</v>
      </c>
      <c r="B184" s="37" t="s">
        <v>279</v>
      </c>
      <c r="C184" s="35">
        <v>13</v>
      </c>
      <c r="D184" s="30" t="s">
        <v>20</v>
      </c>
      <c r="E184" s="3">
        <v>375</v>
      </c>
      <c r="F184" s="126">
        <f t="shared" si="19"/>
        <v>4875</v>
      </c>
    </row>
    <row r="185" spans="1:6" ht="57">
      <c r="A185" s="30">
        <v>13.04</v>
      </c>
      <c r="B185" s="37" t="s">
        <v>280</v>
      </c>
      <c r="C185" s="35">
        <v>3</v>
      </c>
      <c r="D185" s="30" t="s">
        <v>20</v>
      </c>
      <c r="E185" s="3">
        <v>375</v>
      </c>
      <c r="F185" s="126">
        <f t="shared" si="19"/>
        <v>1125</v>
      </c>
    </row>
    <row r="186" spans="1:6" ht="28.5">
      <c r="A186" s="13">
        <v>13.05</v>
      </c>
      <c r="B186" s="37" t="s">
        <v>281</v>
      </c>
      <c r="C186" s="5">
        <v>4</v>
      </c>
      <c r="D186" s="5" t="s">
        <v>45</v>
      </c>
      <c r="E186" s="2">
        <v>650</v>
      </c>
      <c r="F186" s="126">
        <f t="shared" si="19"/>
        <v>2600</v>
      </c>
    </row>
    <row r="187" spans="1:6" ht="28.5">
      <c r="A187" s="13">
        <v>13.06</v>
      </c>
      <c r="B187" s="7" t="s">
        <v>106</v>
      </c>
      <c r="C187" s="5">
        <v>1</v>
      </c>
      <c r="D187" s="5" t="s">
        <v>25</v>
      </c>
      <c r="E187" s="2">
        <v>1470</v>
      </c>
      <c r="F187" s="126">
        <f t="shared" si="19"/>
        <v>1470</v>
      </c>
    </row>
    <row r="188" spans="1:6" ht="15">
      <c r="A188" s="176" t="s">
        <v>57</v>
      </c>
      <c r="B188" s="176"/>
      <c r="C188" s="176"/>
      <c r="D188" s="176"/>
      <c r="E188" s="176"/>
      <c r="F188" s="123">
        <f>SUM(F182:F187)</f>
        <v>204245</v>
      </c>
    </row>
    <row r="189" spans="1:6" ht="15">
      <c r="A189" s="27"/>
      <c r="B189" s="27"/>
      <c r="C189" s="27"/>
      <c r="D189" s="27"/>
      <c r="E189" s="27"/>
      <c r="F189" s="123"/>
    </row>
    <row r="190" spans="1:6" ht="15">
      <c r="A190" s="43">
        <v>14</v>
      </c>
      <c r="B190" s="38" t="s">
        <v>63</v>
      </c>
      <c r="C190" s="5"/>
      <c r="D190" s="5"/>
      <c r="E190" s="2"/>
      <c r="F190" s="125">
        <f t="shared" ref="F190" si="20">C190*E190</f>
        <v>0</v>
      </c>
    </row>
    <row r="191" spans="1:6" ht="128.25">
      <c r="A191" s="13">
        <v>14.01</v>
      </c>
      <c r="B191" s="45" t="s">
        <v>411</v>
      </c>
      <c r="C191" s="177">
        <v>2677</v>
      </c>
      <c r="D191" s="177" t="s">
        <v>134</v>
      </c>
      <c r="E191" s="180">
        <v>475</v>
      </c>
      <c r="F191" s="165">
        <f>C191*E191</f>
        <v>1271575</v>
      </c>
    </row>
    <row r="192" spans="1:6" ht="28.5">
      <c r="A192" s="13">
        <v>14.02</v>
      </c>
      <c r="B192" s="45" t="s">
        <v>282</v>
      </c>
      <c r="C192" s="178"/>
      <c r="D192" s="178"/>
      <c r="E192" s="181"/>
      <c r="F192" s="166"/>
    </row>
    <row r="193" spans="1:6">
      <c r="A193" s="13">
        <v>14.03</v>
      </c>
      <c r="B193" s="45" t="s">
        <v>283</v>
      </c>
      <c r="C193" s="179"/>
      <c r="D193" s="179"/>
      <c r="E193" s="182"/>
      <c r="F193" s="167"/>
    </row>
    <row r="194" spans="1:6" ht="85.5">
      <c r="A194" s="13">
        <v>14.04</v>
      </c>
      <c r="B194" s="45" t="s">
        <v>275</v>
      </c>
      <c r="C194" s="63">
        <v>1</v>
      </c>
      <c r="D194" s="63" t="s">
        <v>25</v>
      </c>
      <c r="E194" s="64">
        <v>5500</v>
      </c>
      <c r="F194" s="127">
        <f>C194*E194</f>
        <v>5500</v>
      </c>
    </row>
    <row r="195" spans="1:6" ht="42.75">
      <c r="A195" s="13">
        <v>14.05</v>
      </c>
      <c r="B195" s="45" t="s">
        <v>272</v>
      </c>
      <c r="C195" s="5">
        <v>1</v>
      </c>
      <c r="D195" s="5" t="s">
        <v>25</v>
      </c>
      <c r="E195" s="2">
        <v>3500</v>
      </c>
      <c r="F195" s="127">
        <f t="shared" ref="F195:F206" si="21">C195*E195</f>
        <v>3500</v>
      </c>
    </row>
    <row r="196" spans="1:6" ht="28.5">
      <c r="A196" s="13">
        <v>14.06</v>
      </c>
      <c r="B196" s="45" t="s">
        <v>274</v>
      </c>
      <c r="C196" s="5">
        <v>1</v>
      </c>
      <c r="D196" s="5" t="s">
        <v>25</v>
      </c>
      <c r="E196" s="2">
        <v>4500</v>
      </c>
      <c r="F196" s="127">
        <f t="shared" si="21"/>
        <v>4500</v>
      </c>
    </row>
    <row r="197" spans="1:6" ht="42.75">
      <c r="A197" s="13">
        <v>14.07</v>
      </c>
      <c r="B197" s="62" t="s">
        <v>273</v>
      </c>
      <c r="C197" s="5">
        <v>1</v>
      </c>
      <c r="D197" s="5" t="s">
        <v>25</v>
      </c>
      <c r="E197" s="2">
        <v>3000</v>
      </c>
      <c r="F197" s="127">
        <f t="shared" si="21"/>
        <v>3000</v>
      </c>
    </row>
    <row r="198" spans="1:6" ht="71.25">
      <c r="A198" s="13">
        <v>14.08</v>
      </c>
      <c r="B198" s="45" t="s">
        <v>284</v>
      </c>
      <c r="C198" s="5">
        <v>1</v>
      </c>
      <c r="D198" s="5" t="s">
        <v>25</v>
      </c>
      <c r="E198" s="2">
        <v>6500</v>
      </c>
      <c r="F198" s="127">
        <f t="shared" si="21"/>
        <v>6500</v>
      </c>
    </row>
    <row r="199" spans="1:6" ht="57.75">
      <c r="A199" s="13">
        <v>14.09</v>
      </c>
      <c r="B199" s="45" t="s">
        <v>130</v>
      </c>
      <c r="C199" s="5">
        <v>1</v>
      </c>
      <c r="D199" s="5" t="s">
        <v>25</v>
      </c>
      <c r="E199" s="2">
        <v>7600</v>
      </c>
      <c r="F199" s="127">
        <f t="shared" si="21"/>
        <v>7600</v>
      </c>
    </row>
    <row r="200" spans="1:6" ht="43.5">
      <c r="A200" s="65">
        <v>14.1</v>
      </c>
      <c r="B200" s="45" t="s">
        <v>382</v>
      </c>
      <c r="C200" s="5">
        <v>1</v>
      </c>
      <c r="D200" s="5" t="s">
        <v>25</v>
      </c>
      <c r="E200" s="2">
        <v>4500</v>
      </c>
      <c r="F200" s="127">
        <f t="shared" si="21"/>
        <v>4500</v>
      </c>
    </row>
    <row r="201" spans="1:6" ht="42.75">
      <c r="A201" s="13">
        <v>14.11</v>
      </c>
      <c r="B201" s="45" t="s">
        <v>276</v>
      </c>
      <c r="C201" s="5">
        <v>1</v>
      </c>
      <c r="D201" s="5" t="s">
        <v>25</v>
      </c>
      <c r="E201" s="2">
        <v>4500</v>
      </c>
      <c r="F201" s="127">
        <f t="shared" si="21"/>
        <v>4500</v>
      </c>
    </row>
    <row r="202" spans="1:6" ht="71.25">
      <c r="A202" s="13">
        <v>14.12</v>
      </c>
      <c r="B202" s="45" t="s">
        <v>285</v>
      </c>
      <c r="C202" s="5">
        <v>1</v>
      </c>
      <c r="D202" s="5" t="s">
        <v>25</v>
      </c>
      <c r="E202" s="2">
        <v>5500</v>
      </c>
      <c r="F202" s="127">
        <f t="shared" si="21"/>
        <v>5500</v>
      </c>
    </row>
    <row r="203" spans="1:6" ht="28.5">
      <c r="A203" s="13">
        <v>14.13</v>
      </c>
      <c r="B203" s="45" t="s">
        <v>286</v>
      </c>
      <c r="C203" s="5">
        <v>1</v>
      </c>
      <c r="D203" s="5" t="s">
        <v>25</v>
      </c>
      <c r="E203" s="2">
        <v>4000</v>
      </c>
      <c r="F203" s="127">
        <f t="shared" si="21"/>
        <v>4000</v>
      </c>
    </row>
    <row r="204" spans="1:6" ht="28.5">
      <c r="A204" s="13">
        <v>14.14</v>
      </c>
      <c r="B204" s="45" t="s">
        <v>131</v>
      </c>
      <c r="C204" s="5">
        <v>1</v>
      </c>
      <c r="D204" s="5" t="s">
        <v>25</v>
      </c>
      <c r="E204" s="2">
        <v>4500</v>
      </c>
      <c r="F204" s="127">
        <f t="shared" si="21"/>
        <v>4500</v>
      </c>
    </row>
    <row r="205" spans="1:6" ht="28.5">
      <c r="A205" s="13">
        <v>14.15</v>
      </c>
      <c r="B205" s="45" t="s">
        <v>132</v>
      </c>
      <c r="C205" s="5">
        <v>1</v>
      </c>
      <c r="D205" s="5" t="s">
        <v>25</v>
      </c>
      <c r="E205" s="2">
        <v>7500</v>
      </c>
      <c r="F205" s="127">
        <f t="shared" si="21"/>
        <v>7500</v>
      </c>
    </row>
    <row r="206" spans="1:6" ht="42.75">
      <c r="A206" s="13">
        <v>14.16</v>
      </c>
      <c r="B206" s="45" t="s">
        <v>133</v>
      </c>
      <c r="C206" s="5">
        <v>1</v>
      </c>
      <c r="D206" s="5" t="s">
        <v>25</v>
      </c>
      <c r="E206" s="2">
        <v>10500</v>
      </c>
      <c r="F206" s="127">
        <f t="shared" si="21"/>
        <v>10500</v>
      </c>
    </row>
    <row r="207" spans="1:6" ht="15">
      <c r="A207" s="176" t="s">
        <v>58</v>
      </c>
      <c r="B207" s="176"/>
      <c r="C207" s="176"/>
      <c r="D207" s="176"/>
      <c r="E207" s="176"/>
      <c r="F207" s="123">
        <f>SUM(F191:F206)</f>
        <v>1343175</v>
      </c>
    </row>
    <row r="208" spans="1:6" ht="15">
      <c r="A208" s="22"/>
      <c r="B208" s="176"/>
      <c r="C208" s="176"/>
      <c r="D208" s="176"/>
      <c r="E208" s="176"/>
      <c r="F208" s="123"/>
    </row>
    <row r="209" spans="1:7" s="149" customFormat="1">
      <c r="A209" s="147" t="s">
        <v>303</v>
      </c>
      <c r="B209" s="150" t="s">
        <v>212</v>
      </c>
      <c r="C209" s="150"/>
      <c r="D209" s="150"/>
      <c r="E209" s="151"/>
      <c r="F209" s="152"/>
      <c r="G209" s="148"/>
    </row>
    <row r="210" spans="1:7" ht="60">
      <c r="A210" s="75" t="s">
        <v>307</v>
      </c>
      <c r="B210" s="46" t="s">
        <v>161</v>
      </c>
      <c r="C210" s="66">
        <v>3</v>
      </c>
      <c r="D210" s="66" t="s">
        <v>25</v>
      </c>
      <c r="E210" s="67">
        <v>9500</v>
      </c>
      <c r="F210" s="128">
        <f>C210*E210</f>
        <v>28500</v>
      </c>
    </row>
    <row r="211" spans="1:7" ht="15">
      <c r="A211" s="67" t="s">
        <v>308</v>
      </c>
      <c r="B211" s="46" t="s">
        <v>162</v>
      </c>
      <c r="C211" s="66">
        <v>9</v>
      </c>
      <c r="D211" s="66" t="s">
        <v>7</v>
      </c>
      <c r="E211" s="67">
        <v>2800</v>
      </c>
      <c r="F211" s="128">
        <f t="shared" ref="F211:F266" si="22">C211*E211</f>
        <v>25200</v>
      </c>
    </row>
    <row r="212" spans="1:7" ht="15">
      <c r="A212" s="67" t="s">
        <v>309</v>
      </c>
      <c r="B212" s="46" t="s">
        <v>163</v>
      </c>
      <c r="C212" s="66">
        <v>1</v>
      </c>
      <c r="D212" s="66" t="s">
        <v>7</v>
      </c>
      <c r="E212" s="67">
        <v>2800</v>
      </c>
      <c r="F212" s="128">
        <f t="shared" si="22"/>
        <v>2800</v>
      </c>
    </row>
    <row r="213" spans="1:7" ht="45">
      <c r="A213" s="67" t="s">
        <v>310</v>
      </c>
      <c r="B213" s="46" t="s">
        <v>164</v>
      </c>
      <c r="C213" s="66">
        <v>1</v>
      </c>
      <c r="D213" s="66" t="s">
        <v>7</v>
      </c>
      <c r="E213" s="67">
        <v>18000</v>
      </c>
      <c r="F213" s="128">
        <f t="shared" si="22"/>
        <v>18000</v>
      </c>
    </row>
    <row r="214" spans="1:7" ht="45">
      <c r="A214" s="67" t="s">
        <v>311</v>
      </c>
      <c r="B214" s="46" t="s">
        <v>165</v>
      </c>
      <c r="C214" s="66">
        <v>1</v>
      </c>
      <c r="D214" s="66" t="s">
        <v>7</v>
      </c>
      <c r="E214" s="67">
        <v>0</v>
      </c>
      <c r="F214" s="128">
        <f t="shared" si="22"/>
        <v>0</v>
      </c>
    </row>
    <row r="215" spans="1:7" ht="45">
      <c r="A215" s="67" t="s">
        <v>312</v>
      </c>
      <c r="B215" s="46" t="s">
        <v>166</v>
      </c>
      <c r="C215" s="66">
        <v>1</v>
      </c>
      <c r="D215" s="66" t="s">
        <v>7</v>
      </c>
      <c r="E215" s="67">
        <v>0</v>
      </c>
      <c r="F215" s="128">
        <f t="shared" si="22"/>
        <v>0</v>
      </c>
    </row>
    <row r="216" spans="1:7" ht="60">
      <c r="A216" s="67" t="s">
        <v>313</v>
      </c>
      <c r="B216" s="46" t="s">
        <v>167</v>
      </c>
      <c r="C216" s="68" t="s">
        <v>304</v>
      </c>
      <c r="D216" s="66" t="s">
        <v>168</v>
      </c>
      <c r="E216" s="67">
        <v>300</v>
      </c>
      <c r="F216" s="128">
        <v>409500</v>
      </c>
    </row>
    <row r="217" spans="1:7" ht="15">
      <c r="A217" s="67" t="s">
        <v>314</v>
      </c>
      <c r="B217" s="46" t="s">
        <v>169</v>
      </c>
      <c r="C217" s="66">
        <v>1</v>
      </c>
      <c r="D217" s="66" t="s">
        <v>51</v>
      </c>
      <c r="E217" s="67">
        <v>0</v>
      </c>
      <c r="F217" s="128">
        <f t="shared" si="22"/>
        <v>0</v>
      </c>
    </row>
    <row r="218" spans="1:7" ht="60">
      <c r="A218" s="75" t="s">
        <v>316</v>
      </c>
      <c r="B218" s="46" t="s">
        <v>170</v>
      </c>
      <c r="C218" s="66" t="s">
        <v>305</v>
      </c>
      <c r="D218" s="66" t="s">
        <v>168</v>
      </c>
      <c r="E218" s="67">
        <v>250</v>
      </c>
      <c r="F218" s="128">
        <v>27250</v>
      </c>
    </row>
    <row r="219" spans="1:7" ht="60">
      <c r="A219" s="67" t="s">
        <v>317</v>
      </c>
      <c r="B219" s="46" t="s">
        <v>171</v>
      </c>
      <c r="C219" s="66" t="s">
        <v>306</v>
      </c>
      <c r="D219" s="66" t="s">
        <v>168</v>
      </c>
      <c r="E219" s="67">
        <v>190</v>
      </c>
      <c r="F219" s="128">
        <v>7220</v>
      </c>
    </row>
    <row r="220" spans="1:7" ht="60">
      <c r="A220" s="67" t="s">
        <v>318</v>
      </c>
      <c r="B220" s="46" t="s">
        <v>396</v>
      </c>
      <c r="C220" s="66" t="s">
        <v>315</v>
      </c>
      <c r="D220" s="66" t="s">
        <v>168</v>
      </c>
      <c r="E220" s="67">
        <v>440</v>
      </c>
      <c r="F220" s="128">
        <v>44880</v>
      </c>
    </row>
    <row r="221" spans="1:7" ht="60">
      <c r="A221" s="67" t="s">
        <v>319</v>
      </c>
      <c r="B221" s="46" t="s">
        <v>172</v>
      </c>
      <c r="C221" s="66">
        <v>1</v>
      </c>
      <c r="D221" s="66" t="s">
        <v>7</v>
      </c>
      <c r="E221" s="67">
        <v>160</v>
      </c>
      <c r="F221" s="128">
        <f t="shared" si="22"/>
        <v>160</v>
      </c>
    </row>
    <row r="222" spans="1:7" ht="60">
      <c r="A222" s="67" t="s">
        <v>320</v>
      </c>
      <c r="B222" s="46" t="s">
        <v>173</v>
      </c>
      <c r="C222" s="66">
        <v>1</v>
      </c>
      <c r="D222" s="66" t="s">
        <v>7</v>
      </c>
      <c r="E222" s="67">
        <v>400</v>
      </c>
      <c r="F222" s="128">
        <f t="shared" si="22"/>
        <v>400</v>
      </c>
    </row>
    <row r="223" spans="1:7" ht="60">
      <c r="A223" s="67" t="s">
        <v>321</v>
      </c>
      <c r="B223" s="46" t="s">
        <v>174</v>
      </c>
      <c r="C223" s="66">
        <v>1</v>
      </c>
      <c r="D223" s="66" t="s">
        <v>7</v>
      </c>
      <c r="E223" s="67">
        <v>1000</v>
      </c>
      <c r="F223" s="128">
        <f t="shared" si="22"/>
        <v>1000</v>
      </c>
    </row>
    <row r="224" spans="1:7" ht="15">
      <c r="A224" s="67" t="s">
        <v>322</v>
      </c>
      <c r="B224" s="46" t="s">
        <v>175</v>
      </c>
      <c r="C224" s="66">
        <v>12</v>
      </c>
      <c r="D224" s="66" t="s">
        <v>25</v>
      </c>
      <c r="E224" s="67">
        <v>1500</v>
      </c>
      <c r="F224" s="128">
        <f t="shared" si="22"/>
        <v>18000</v>
      </c>
    </row>
    <row r="225" spans="1:6" ht="15">
      <c r="A225" s="168">
        <v>15.16</v>
      </c>
      <c r="B225" s="46" t="s">
        <v>176</v>
      </c>
      <c r="C225" s="66" t="s">
        <v>136</v>
      </c>
      <c r="D225" s="66"/>
      <c r="E225" s="69"/>
      <c r="F225" s="128"/>
    </row>
    <row r="226" spans="1:6" ht="15">
      <c r="A226" s="169"/>
      <c r="B226" s="46" t="s">
        <v>177</v>
      </c>
      <c r="C226" s="66">
        <v>20</v>
      </c>
      <c r="D226" s="66" t="s">
        <v>25</v>
      </c>
      <c r="E226" s="67">
        <v>110</v>
      </c>
      <c r="F226" s="128">
        <f t="shared" si="22"/>
        <v>2200</v>
      </c>
    </row>
    <row r="227" spans="1:6" ht="15">
      <c r="A227" s="169"/>
      <c r="B227" s="46" t="s">
        <v>178</v>
      </c>
      <c r="C227" s="66">
        <v>20</v>
      </c>
      <c r="D227" s="66" t="s">
        <v>25</v>
      </c>
      <c r="E227" s="67">
        <v>210</v>
      </c>
      <c r="F227" s="128">
        <f t="shared" si="22"/>
        <v>4200</v>
      </c>
    </row>
    <row r="228" spans="1:6" ht="15">
      <c r="A228" s="169"/>
      <c r="B228" s="46" t="s">
        <v>179</v>
      </c>
      <c r="C228" s="66">
        <v>1</v>
      </c>
      <c r="D228" s="66" t="s">
        <v>25</v>
      </c>
      <c r="E228" s="67">
        <v>450</v>
      </c>
      <c r="F228" s="128">
        <f t="shared" si="22"/>
        <v>450</v>
      </c>
    </row>
    <row r="229" spans="1:6" ht="15">
      <c r="A229" s="169"/>
      <c r="B229" s="46" t="s">
        <v>180</v>
      </c>
      <c r="C229" s="66">
        <v>1</v>
      </c>
      <c r="D229" s="66" t="s">
        <v>25</v>
      </c>
      <c r="E229" s="67">
        <v>475</v>
      </c>
      <c r="F229" s="128">
        <f t="shared" si="22"/>
        <v>475</v>
      </c>
    </row>
    <row r="230" spans="1:6" ht="15">
      <c r="A230" s="169"/>
      <c r="B230" s="46" t="s">
        <v>181</v>
      </c>
      <c r="C230" s="66">
        <v>1</v>
      </c>
      <c r="D230" s="66" t="s">
        <v>25</v>
      </c>
      <c r="E230" s="67">
        <v>375</v>
      </c>
      <c r="F230" s="128">
        <f t="shared" si="22"/>
        <v>375</v>
      </c>
    </row>
    <row r="231" spans="1:6" ht="15">
      <c r="A231" s="169"/>
      <c r="B231" s="46" t="s">
        <v>182</v>
      </c>
      <c r="C231" s="66">
        <v>1</v>
      </c>
      <c r="D231" s="66" t="s">
        <v>25</v>
      </c>
      <c r="E231" s="67">
        <v>390</v>
      </c>
      <c r="F231" s="128">
        <f t="shared" si="22"/>
        <v>390</v>
      </c>
    </row>
    <row r="232" spans="1:6" ht="15">
      <c r="A232" s="169"/>
      <c r="B232" s="46" t="s">
        <v>183</v>
      </c>
      <c r="C232" s="66">
        <v>1</v>
      </c>
      <c r="D232" s="66" t="s">
        <v>25</v>
      </c>
      <c r="E232" s="67">
        <v>390</v>
      </c>
      <c r="F232" s="128">
        <f t="shared" si="22"/>
        <v>390</v>
      </c>
    </row>
    <row r="233" spans="1:6" ht="15">
      <c r="A233" s="169"/>
      <c r="B233" s="46" t="s">
        <v>184</v>
      </c>
      <c r="C233" s="66">
        <v>2</v>
      </c>
      <c r="D233" s="66" t="s">
        <v>25</v>
      </c>
      <c r="E233" s="67">
        <v>390</v>
      </c>
      <c r="F233" s="128">
        <f t="shared" si="22"/>
        <v>780</v>
      </c>
    </row>
    <row r="234" spans="1:6" ht="15">
      <c r="A234" s="169"/>
      <c r="B234" s="46" t="s">
        <v>185</v>
      </c>
      <c r="C234" s="66">
        <v>73</v>
      </c>
      <c r="D234" s="66" t="s">
        <v>25</v>
      </c>
      <c r="E234" s="67">
        <v>210</v>
      </c>
      <c r="F234" s="128">
        <f t="shared" si="22"/>
        <v>15330</v>
      </c>
    </row>
    <row r="235" spans="1:6" ht="15">
      <c r="A235" s="169"/>
      <c r="B235" s="46" t="s">
        <v>186</v>
      </c>
      <c r="C235" s="66">
        <v>1</v>
      </c>
      <c r="D235" s="66" t="s">
        <v>25</v>
      </c>
      <c r="E235" s="67">
        <v>200</v>
      </c>
      <c r="F235" s="128">
        <f t="shared" si="22"/>
        <v>200</v>
      </c>
    </row>
    <row r="236" spans="1:6" ht="15">
      <c r="A236" s="169"/>
      <c r="B236" s="46" t="s">
        <v>187</v>
      </c>
      <c r="C236" s="66">
        <v>2</v>
      </c>
      <c r="D236" s="66" t="s">
        <v>25</v>
      </c>
      <c r="E236" s="67">
        <v>200</v>
      </c>
      <c r="F236" s="128">
        <f t="shared" si="22"/>
        <v>400</v>
      </c>
    </row>
    <row r="237" spans="1:6" ht="15">
      <c r="A237" s="169"/>
      <c r="B237" s="46" t="s">
        <v>188</v>
      </c>
      <c r="C237" s="66">
        <v>1</v>
      </c>
      <c r="D237" s="66" t="s">
        <v>25</v>
      </c>
      <c r="E237" s="67">
        <v>200</v>
      </c>
      <c r="F237" s="128">
        <f t="shared" si="22"/>
        <v>200</v>
      </c>
    </row>
    <row r="238" spans="1:6" ht="15">
      <c r="A238" s="169"/>
      <c r="B238" s="46" t="s">
        <v>189</v>
      </c>
      <c r="C238" s="66">
        <v>2</v>
      </c>
      <c r="D238" s="66" t="s">
        <v>25</v>
      </c>
      <c r="E238" s="67">
        <v>200</v>
      </c>
      <c r="F238" s="128">
        <f t="shared" si="22"/>
        <v>400</v>
      </c>
    </row>
    <row r="239" spans="1:6" ht="15">
      <c r="A239" s="169"/>
      <c r="B239" s="46" t="s">
        <v>190</v>
      </c>
      <c r="C239" s="66">
        <v>2</v>
      </c>
      <c r="D239" s="66" t="s">
        <v>25</v>
      </c>
      <c r="E239" s="67">
        <v>200</v>
      </c>
      <c r="F239" s="128">
        <f t="shared" si="22"/>
        <v>400</v>
      </c>
    </row>
    <row r="240" spans="1:6" ht="15">
      <c r="A240" s="169"/>
      <c r="B240" s="46" t="s">
        <v>191</v>
      </c>
      <c r="C240" s="66">
        <v>1</v>
      </c>
      <c r="D240" s="66" t="s">
        <v>25</v>
      </c>
      <c r="E240" s="67">
        <v>300</v>
      </c>
      <c r="F240" s="128">
        <f t="shared" si="22"/>
        <v>300</v>
      </c>
    </row>
    <row r="241" spans="1:6" ht="15">
      <c r="A241" s="169"/>
      <c r="B241" s="46" t="s">
        <v>192</v>
      </c>
      <c r="C241" s="66">
        <v>1</v>
      </c>
      <c r="D241" s="66" t="s">
        <v>25</v>
      </c>
      <c r="E241" s="67">
        <v>300</v>
      </c>
      <c r="F241" s="128">
        <f t="shared" si="22"/>
        <v>300</v>
      </c>
    </row>
    <row r="242" spans="1:6" ht="15">
      <c r="A242" s="169"/>
      <c r="B242" s="46" t="s">
        <v>193</v>
      </c>
      <c r="C242" s="66">
        <v>5</v>
      </c>
      <c r="D242" s="66" t="s">
        <v>25</v>
      </c>
      <c r="E242" s="67">
        <v>150</v>
      </c>
      <c r="F242" s="128">
        <f t="shared" si="22"/>
        <v>750</v>
      </c>
    </row>
    <row r="243" spans="1:6" ht="15">
      <c r="A243" s="169"/>
      <c r="B243" s="46" t="s">
        <v>187</v>
      </c>
      <c r="C243" s="66">
        <v>2</v>
      </c>
      <c r="D243" s="66" t="s">
        <v>25</v>
      </c>
      <c r="E243" s="69">
        <v>200</v>
      </c>
      <c r="F243" s="128">
        <f t="shared" si="22"/>
        <v>400</v>
      </c>
    </row>
    <row r="244" spans="1:6" ht="15">
      <c r="A244" s="169"/>
      <c r="B244" s="46" t="s">
        <v>194</v>
      </c>
      <c r="C244" s="66">
        <v>2</v>
      </c>
      <c r="D244" s="66" t="s">
        <v>25</v>
      </c>
      <c r="E244" s="69">
        <v>200</v>
      </c>
      <c r="F244" s="128">
        <f t="shared" si="22"/>
        <v>400</v>
      </c>
    </row>
    <row r="245" spans="1:6" ht="15">
      <c r="A245" s="169"/>
      <c r="B245" s="46" t="s">
        <v>326</v>
      </c>
      <c r="C245" s="66"/>
      <c r="D245" s="66"/>
      <c r="E245" s="69"/>
      <c r="F245" s="128">
        <f t="shared" si="22"/>
        <v>0</v>
      </c>
    </row>
    <row r="246" spans="1:6" ht="15">
      <c r="A246" s="170"/>
      <c r="B246" s="46" t="s">
        <v>195</v>
      </c>
      <c r="C246" s="66">
        <v>2</v>
      </c>
      <c r="D246" s="66" t="s">
        <v>25</v>
      </c>
      <c r="E246" s="69">
        <v>300</v>
      </c>
      <c r="F246" s="128">
        <f t="shared" si="22"/>
        <v>600</v>
      </c>
    </row>
    <row r="247" spans="1:6" ht="45">
      <c r="A247" s="175">
        <v>15.17</v>
      </c>
      <c r="B247" s="77" t="s">
        <v>196</v>
      </c>
      <c r="C247" s="70"/>
      <c r="D247" s="66"/>
      <c r="E247" s="69"/>
      <c r="F247" s="128"/>
    </row>
    <row r="248" spans="1:6" ht="15">
      <c r="A248" s="175"/>
      <c r="B248" s="77" t="s">
        <v>197</v>
      </c>
      <c r="C248" s="70">
        <v>31</v>
      </c>
      <c r="D248" s="66" t="s">
        <v>25</v>
      </c>
      <c r="E248" s="67">
        <v>310</v>
      </c>
      <c r="F248" s="128">
        <f t="shared" si="22"/>
        <v>9610</v>
      </c>
    </row>
    <row r="249" spans="1:6" ht="15">
      <c r="A249" s="175"/>
      <c r="B249" s="77" t="s">
        <v>198</v>
      </c>
      <c r="C249" s="70">
        <v>80</v>
      </c>
      <c r="D249" s="66" t="s">
        <v>25</v>
      </c>
      <c r="E249" s="67">
        <v>310</v>
      </c>
      <c r="F249" s="128">
        <f t="shared" si="22"/>
        <v>24800</v>
      </c>
    </row>
    <row r="250" spans="1:6" ht="15">
      <c r="A250" s="175"/>
      <c r="B250" s="77" t="s">
        <v>199</v>
      </c>
      <c r="C250" s="70">
        <v>2</v>
      </c>
      <c r="D250" s="66" t="s">
        <v>25</v>
      </c>
      <c r="E250" s="67">
        <v>240</v>
      </c>
      <c r="F250" s="128">
        <f t="shared" si="22"/>
        <v>480</v>
      </c>
    </row>
    <row r="251" spans="1:6" ht="15">
      <c r="A251" s="175"/>
      <c r="B251" s="77" t="s">
        <v>200</v>
      </c>
      <c r="C251" s="70">
        <v>4</v>
      </c>
      <c r="D251" s="66" t="s">
        <v>25</v>
      </c>
      <c r="E251" s="67">
        <v>300</v>
      </c>
      <c r="F251" s="128">
        <f t="shared" si="22"/>
        <v>1200</v>
      </c>
    </row>
    <row r="252" spans="1:6" ht="15">
      <c r="A252" s="175"/>
      <c r="B252" s="77" t="s">
        <v>201</v>
      </c>
      <c r="C252" s="70">
        <v>3</v>
      </c>
      <c r="D252" s="66" t="s">
        <v>25</v>
      </c>
      <c r="E252" s="67">
        <v>300</v>
      </c>
      <c r="F252" s="128">
        <f t="shared" si="22"/>
        <v>900</v>
      </c>
    </row>
    <row r="253" spans="1:6" ht="15">
      <c r="A253" s="175"/>
      <c r="B253" s="77" t="s">
        <v>202</v>
      </c>
      <c r="C253" s="70">
        <v>1</v>
      </c>
      <c r="D253" s="66" t="s">
        <v>25</v>
      </c>
      <c r="E253" s="67">
        <v>300</v>
      </c>
      <c r="F253" s="128">
        <f t="shared" si="22"/>
        <v>300</v>
      </c>
    </row>
    <row r="254" spans="1:6" ht="15">
      <c r="A254" s="175"/>
      <c r="B254" s="77" t="s">
        <v>203</v>
      </c>
      <c r="C254" s="70">
        <v>1</v>
      </c>
      <c r="D254" s="66" t="s">
        <v>25</v>
      </c>
      <c r="E254" s="67">
        <v>300</v>
      </c>
      <c r="F254" s="128">
        <f t="shared" si="22"/>
        <v>300</v>
      </c>
    </row>
    <row r="255" spans="1:6" ht="15">
      <c r="A255" s="175"/>
      <c r="B255" s="77" t="s">
        <v>204</v>
      </c>
      <c r="C255" s="70">
        <v>13</v>
      </c>
      <c r="D255" s="66" t="s">
        <v>25</v>
      </c>
      <c r="E255" s="67">
        <v>300</v>
      </c>
      <c r="F255" s="128">
        <f t="shared" si="22"/>
        <v>3900</v>
      </c>
    </row>
    <row r="256" spans="1:6" ht="15">
      <c r="A256" s="175"/>
      <c r="B256" s="77" t="s">
        <v>205</v>
      </c>
      <c r="C256" s="70">
        <v>11</v>
      </c>
      <c r="D256" s="66" t="s">
        <v>25</v>
      </c>
      <c r="E256" s="67">
        <v>250</v>
      </c>
      <c r="F256" s="128">
        <f t="shared" si="22"/>
        <v>2750</v>
      </c>
    </row>
    <row r="257" spans="1:6" ht="15">
      <c r="A257" s="175"/>
      <c r="B257" s="78" t="s">
        <v>206</v>
      </c>
      <c r="C257" s="71">
        <v>2</v>
      </c>
      <c r="D257" s="72" t="s">
        <v>25</v>
      </c>
      <c r="E257" s="69">
        <v>400</v>
      </c>
      <c r="F257" s="128">
        <f t="shared" si="22"/>
        <v>800</v>
      </c>
    </row>
    <row r="258" spans="1:6" ht="15">
      <c r="A258" s="175"/>
      <c r="B258" s="79" t="s">
        <v>207</v>
      </c>
      <c r="C258" s="73"/>
      <c r="D258" s="74"/>
      <c r="E258" s="73">
        <v>0</v>
      </c>
      <c r="F258" s="128">
        <f t="shared" si="22"/>
        <v>0</v>
      </c>
    </row>
    <row r="259" spans="1:6" ht="30">
      <c r="A259" s="76">
        <v>15.18</v>
      </c>
      <c r="B259" s="78" t="s">
        <v>324</v>
      </c>
      <c r="C259" s="71">
        <v>2</v>
      </c>
      <c r="D259" s="72" t="s">
        <v>25</v>
      </c>
      <c r="E259" s="69">
        <v>1000</v>
      </c>
      <c r="F259" s="128">
        <f t="shared" si="22"/>
        <v>2000</v>
      </c>
    </row>
    <row r="260" spans="1:6" ht="15">
      <c r="A260" s="76">
        <v>15.19</v>
      </c>
      <c r="B260" s="77" t="s">
        <v>208</v>
      </c>
      <c r="C260" s="70">
        <v>1</v>
      </c>
      <c r="D260" s="66" t="s">
        <v>25</v>
      </c>
      <c r="E260" s="67">
        <v>1000</v>
      </c>
      <c r="F260" s="128">
        <f t="shared" si="22"/>
        <v>1000</v>
      </c>
    </row>
    <row r="261" spans="1:6" ht="15">
      <c r="A261" s="76">
        <v>15.2</v>
      </c>
      <c r="B261" s="77" t="s">
        <v>209</v>
      </c>
      <c r="C261" s="70">
        <v>1</v>
      </c>
      <c r="D261" s="66" t="s">
        <v>25</v>
      </c>
      <c r="E261" s="67">
        <v>750</v>
      </c>
      <c r="F261" s="128">
        <f t="shared" si="22"/>
        <v>750</v>
      </c>
    </row>
    <row r="262" spans="1:6" ht="15">
      <c r="A262" s="76">
        <v>15.21</v>
      </c>
      <c r="B262" s="77" t="s">
        <v>210</v>
      </c>
      <c r="C262" s="70">
        <v>1</v>
      </c>
      <c r="D262" s="66" t="s">
        <v>25</v>
      </c>
      <c r="E262" s="67">
        <v>670</v>
      </c>
      <c r="F262" s="128">
        <f t="shared" si="22"/>
        <v>670</v>
      </c>
    </row>
    <row r="263" spans="1:6" ht="10.5" customHeight="1">
      <c r="A263" s="80">
        <v>15.22</v>
      </c>
      <c r="B263" s="46" t="s">
        <v>397</v>
      </c>
      <c r="C263" s="66">
        <v>5</v>
      </c>
      <c r="D263" s="66" t="s">
        <v>7</v>
      </c>
      <c r="E263" s="67">
        <v>1500</v>
      </c>
      <c r="F263" s="128">
        <f t="shared" si="22"/>
        <v>7500</v>
      </c>
    </row>
    <row r="264" spans="1:6" ht="15">
      <c r="A264" s="80">
        <v>15.23</v>
      </c>
      <c r="B264" s="47" t="s">
        <v>211</v>
      </c>
      <c r="C264" s="66">
        <v>1</v>
      </c>
      <c r="D264" s="66" t="s">
        <v>7</v>
      </c>
      <c r="E264" s="67">
        <v>9000</v>
      </c>
      <c r="F264" s="128">
        <f t="shared" si="22"/>
        <v>9000</v>
      </c>
    </row>
    <row r="265" spans="1:6" ht="15">
      <c r="A265" s="67">
        <v>15.24</v>
      </c>
      <c r="B265" s="46" t="s">
        <v>323</v>
      </c>
      <c r="C265" s="66">
        <v>1</v>
      </c>
      <c r="D265" s="66" t="s">
        <v>7</v>
      </c>
      <c r="E265" s="67">
        <v>6500</v>
      </c>
      <c r="F265" s="128">
        <f t="shared" si="22"/>
        <v>6500</v>
      </c>
    </row>
    <row r="266" spans="1:6" ht="15">
      <c r="A266" s="67">
        <v>15.25</v>
      </c>
      <c r="B266" s="46" t="s">
        <v>325</v>
      </c>
      <c r="C266" s="66">
        <v>1</v>
      </c>
      <c r="D266" s="66" t="s">
        <v>25</v>
      </c>
      <c r="E266" s="67">
        <v>1500</v>
      </c>
      <c r="F266" s="128">
        <f t="shared" si="22"/>
        <v>1500</v>
      </c>
    </row>
    <row r="267" spans="1:6" ht="15">
      <c r="A267" s="22"/>
      <c r="B267" s="176" t="s">
        <v>327</v>
      </c>
      <c r="C267" s="176"/>
      <c r="D267" s="176"/>
      <c r="E267" s="176"/>
      <c r="F267" s="123">
        <f>SUM(F210:F266)</f>
        <v>685810</v>
      </c>
    </row>
    <row r="268" spans="1:6" ht="15" customHeight="1">
      <c r="A268" s="13"/>
      <c r="B268" s="11"/>
      <c r="C268" s="12"/>
      <c r="D268" s="5"/>
      <c r="E268" s="2"/>
      <c r="F268" s="125"/>
    </row>
    <row r="269" spans="1:6">
      <c r="A269" s="13">
        <v>16</v>
      </c>
      <c r="B269" s="14" t="s">
        <v>47</v>
      </c>
      <c r="C269" s="14"/>
      <c r="D269" s="14"/>
      <c r="E269" s="15"/>
      <c r="F269" s="124"/>
    </row>
    <row r="270" spans="1:6" ht="45">
      <c r="A270" s="84"/>
      <c r="B270" s="85" t="s">
        <v>135</v>
      </c>
      <c r="C270" s="86"/>
      <c r="D270" s="86"/>
      <c r="E270" s="87"/>
      <c r="F270" s="129"/>
    </row>
    <row r="271" spans="1:6" ht="45">
      <c r="A271" s="84">
        <v>16.100000000000001</v>
      </c>
      <c r="B271" s="85" t="s">
        <v>339</v>
      </c>
      <c r="C271" s="86">
        <v>1</v>
      </c>
      <c r="D271" s="86" t="s">
        <v>51</v>
      </c>
      <c r="E271" s="87">
        <v>6500</v>
      </c>
      <c r="F271" s="129">
        <f>C271*E271</f>
        <v>6500</v>
      </c>
    </row>
    <row r="272" spans="1:6" ht="30">
      <c r="A272" s="84">
        <v>16.2</v>
      </c>
      <c r="B272" s="85" t="s">
        <v>137</v>
      </c>
      <c r="C272" s="86">
        <v>1</v>
      </c>
      <c r="D272" s="86" t="s">
        <v>51</v>
      </c>
      <c r="E272" s="87">
        <v>9000</v>
      </c>
      <c r="F272" s="129">
        <f t="shared" ref="F272:F313" si="23">C272*E272</f>
        <v>9000</v>
      </c>
    </row>
    <row r="273" spans="1:6" ht="30">
      <c r="A273" s="84">
        <v>16.3</v>
      </c>
      <c r="B273" s="85" t="s">
        <v>328</v>
      </c>
      <c r="C273" s="86">
        <v>1</v>
      </c>
      <c r="D273" s="86" t="s">
        <v>51</v>
      </c>
      <c r="E273" s="87">
        <v>29000</v>
      </c>
      <c r="F273" s="129">
        <v>29000</v>
      </c>
    </row>
    <row r="274" spans="1:6" ht="30">
      <c r="A274" s="84">
        <v>16.399999999999999</v>
      </c>
      <c r="B274" s="85" t="s">
        <v>338</v>
      </c>
      <c r="C274" s="86">
        <v>1</v>
      </c>
      <c r="D274" s="86" t="s">
        <v>51</v>
      </c>
      <c r="E274" s="87">
        <v>27000</v>
      </c>
      <c r="F274" s="129">
        <v>27000</v>
      </c>
    </row>
    <row r="275" spans="1:6" ht="30">
      <c r="A275" s="84">
        <v>16.5</v>
      </c>
      <c r="B275" s="85" t="s">
        <v>351</v>
      </c>
      <c r="C275" s="86">
        <v>1</v>
      </c>
      <c r="D275" s="86" t="s">
        <v>51</v>
      </c>
      <c r="E275" s="87">
        <v>18000</v>
      </c>
      <c r="F275" s="129">
        <f t="shared" si="23"/>
        <v>18000</v>
      </c>
    </row>
    <row r="276" spans="1:6" ht="45">
      <c r="A276" s="84">
        <v>16.600000000000001</v>
      </c>
      <c r="B276" s="85" t="s">
        <v>138</v>
      </c>
      <c r="C276" s="86">
        <v>1</v>
      </c>
      <c r="D276" s="86" t="s">
        <v>25</v>
      </c>
      <c r="E276" s="87">
        <v>13000</v>
      </c>
      <c r="F276" s="129">
        <f t="shared" si="23"/>
        <v>13000</v>
      </c>
    </row>
    <row r="277" spans="1:6" ht="14.65" customHeight="1">
      <c r="A277" s="84">
        <v>16.7</v>
      </c>
      <c r="B277" s="85" t="s">
        <v>139</v>
      </c>
      <c r="C277" s="86">
        <v>1</v>
      </c>
      <c r="D277" s="86" t="s">
        <v>25</v>
      </c>
      <c r="E277" s="87">
        <v>16000</v>
      </c>
      <c r="F277" s="129">
        <f t="shared" si="23"/>
        <v>16000</v>
      </c>
    </row>
    <row r="278" spans="1:6" ht="45">
      <c r="A278" s="84">
        <v>16.8</v>
      </c>
      <c r="B278" s="85" t="s">
        <v>140</v>
      </c>
      <c r="C278" s="86">
        <v>1</v>
      </c>
      <c r="D278" s="86" t="s">
        <v>25</v>
      </c>
      <c r="E278" s="87">
        <v>18000</v>
      </c>
      <c r="F278" s="129">
        <f t="shared" si="23"/>
        <v>18000</v>
      </c>
    </row>
    <row r="279" spans="1:6" ht="30">
      <c r="A279" s="84">
        <v>16.899999999999999</v>
      </c>
      <c r="B279" s="85" t="s">
        <v>352</v>
      </c>
      <c r="C279" s="86">
        <v>1</v>
      </c>
      <c r="D279" s="86" t="s">
        <v>25</v>
      </c>
      <c r="E279" s="87">
        <v>11000</v>
      </c>
      <c r="F279" s="129">
        <f t="shared" si="23"/>
        <v>11000</v>
      </c>
    </row>
    <row r="280" spans="1:6" ht="60.75" customHeight="1">
      <c r="A280" s="84">
        <v>16.100000000000001</v>
      </c>
      <c r="B280" s="88" t="s">
        <v>141</v>
      </c>
      <c r="C280" s="89">
        <v>36</v>
      </c>
      <c r="D280" s="89" t="s">
        <v>21</v>
      </c>
      <c r="E280" s="90">
        <v>1250</v>
      </c>
      <c r="F280" s="129">
        <f t="shared" si="23"/>
        <v>45000</v>
      </c>
    </row>
    <row r="281" spans="1:6" ht="45">
      <c r="A281" s="84">
        <v>16.11</v>
      </c>
      <c r="B281" s="88" t="s">
        <v>142</v>
      </c>
      <c r="C281" s="89">
        <v>36</v>
      </c>
      <c r="D281" s="89" t="s">
        <v>21</v>
      </c>
      <c r="E281" s="90">
        <v>1250</v>
      </c>
      <c r="F281" s="129">
        <f t="shared" si="23"/>
        <v>45000</v>
      </c>
    </row>
    <row r="282" spans="1:6" ht="45">
      <c r="A282" s="84">
        <v>16.12</v>
      </c>
      <c r="B282" s="85" t="s">
        <v>143</v>
      </c>
      <c r="C282" s="86">
        <v>15</v>
      </c>
      <c r="D282" s="86" t="s">
        <v>21</v>
      </c>
      <c r="E282" s="87">
        <v>110</v>
      </c>
      <c r="F282" s="129">
        <f t="shared" si="23"/>
        <v>1650</v>
      </c>
    </row>
    <row r="283" spans="1:6" ht="45.75" customHeight="1">
      <c r="A283" s="84">
        <v>16.13</v>
      </c>
      <c r="B283" s="85" t="s">
        <v>144</v>
      </c>
      <c r="C283" s="86">
        <v>15</v>
      </c>
      <c r="D283" s="86" t="s">
        <v>21</v>
      </c>
      <c r="E283" s="87">
        <v>130</v>
      </c>
      <c r="F283" s="129">
        <f t="shared" si="23"/>
        <v>1950</v>
      </c>
    </row>
    <row r="284" spans="1:6" ht="45">
      <c r="A284" s="84">
        <v>16.14</v>
      </c>
      <c r="B284" s="85" t="s">
        <v>145</v>
      </c>
      <c r="C284" s="86">
        <v>18</v>
      </c>
      <c r="D284" s="86" t="s">
        <v>21</v>
      </c>
      <c r="E284" s="87">
        <v>320</v>
      </c>
      <c r="F284" s="129">
        <f t="shared" si="23"/>
        <v>5760</v>
      </c>
    </row>
    <row r="285" spans="1:6" ht="45">
      <c r="A285" s="84">
        <v>16.149999999999999</v>
      </c>
      <c r="B285" s="85" t="s">
        <v>146</v>
      </c>
      <c r="C285" s="86">
        <v>20</v>
      </c>
      <c r="D285" s="86" t="s">
        <v>21</v>
      </c>
      <c r="E285" s="87">
        <v>70</v>
      </c>
      <c r="F285" s="129">
        <f t="shared" si="23"/>
        <v>1400</v>
      </c>
    </row>
    <row r="286" spans="1:6" ht="45">
      <c r="A286" s="84">
        <v>16.16</v>
      </c>
      <c r="B286" s="85" t="s">
        <v>147</v>
      </c>
      <c r="C286" s="86">
        <v>75</v>
      </c>
      <c r="D286" s="86" t="s">
        <v>21</v>
      </c>
      <c r="E286" s="87">
        <v>70</v>
      </c>
      <c r="F286" s="129">
        <f t="shared" si="23"/>
        <v>5250</v>
      </c>
    </row>
    <row r="287" spans="1:6" ht="45">
      <c r="A287" s="84">
        <v>16.170000000000002</v>
      </c>
      <c r="B287" s="85" t="s">
        <v>148</v>
      </c>
      <c r="C287" s="86">
        <v>60</v>
      </c>
      <c r="D287" s="86" t="s">
        <v>21</v>
      </c>
      <c r="E287" s="87">
        <v>45</v>
      </c>
      <c r="F287" s="129">
        <f t="shared" si="23"/>
        <v>2700</v>
      </c>
    </row>
    <row r="288" spans="1:6" ht="45">
      <c r="A288" s="84">
        <v>16.18</v>
      </c>
      <c r="B288" s="85" t="s">
        <v>149</v>
      </c>
      <c r="C288" s="86">
        <v>60</v>
      </c>
      <c r="D288" s="86" t="s">
        <v>21</v>
      </c>
      <c r="E288" s="87">
        <v>45</v>
      </c>
      <c r="F288" s="129">
        <f t="shared" si="23"/>
        <v>2700</v>
      </c>
    </row>
    <row r="289" spans="1:6" ht="45">
      <c r="A289" s="84">
        <v>16.190000000000001</v>
      </c>
      <c r="B289" s="85" t="s">
        <v>150</v>
      </c>
      <c r="C289" s="86">
        <v>60</v>
      </c>
      <c r="D289" s="86" t="s">
        <v>21</v>
      </c>
      <c r="E289" s="87">
        <v>45</v>
      </c>
      <c r="F289" s="129">
        <f t="shared" si="23"/>
        <v>2700</v>
      </c>
    </row>
    <row r="290" spans="1:6" ht="45">
      <c r="A290" s="108">
        <v>16.2</v>
      </c>
      <c r="B290" s="85" t="s">
        <v>151</v>
      </c>
      <c r="C290" s="86">
        <v>60</v>
      </c>
      <c r="D290" s="86" t="s">
        <v>21</v>
      </c>
      <c r="E290" s="87">
        <v>45</v>
      </c>
      <c r="F290" s="129">
        <f t="shared" si="23"/>
        <v>2700</v>
      </c>
    </row>
    <row r="291" spans="1:6" ht="45">
      <c r="A291" s="84">
        <v>16.21</v>
      </c>
      <c r="B291" s="85" t="s">
        <v>353</v>
      </c>
      <c r="C291" s="86">
        <v>60</v>
      </c>
      <c r="D291" s="86" t="s">
        <v>21</v>
      </c>
      <c r="E291" s="87">
        <v>45</v>
      </c>
      <c r="F291" s="129">
        <f t="shared" si="23"/>
        <v>2700</v>
      </c>
    </row>
    <row r="292" spans="1:6" ht="45">
      <c r="A292" s="84">
        <v>16.22</v>
      </c>
      <c r="B292" s="85" t="s">
        <v>354</v>
      </c>
      <c r="C292" s="86">
        <v>60</v>
      </c>
      <c r="D292" s="86" t="s">
        <v>21</v>
      </c>
      <c r="E292" s="87">
        <v>45</v>
      </c>
      <c r="F292" s="129">
        <f t="shared" ref="F292" si="24">C292*E292</f>
        <v>2700</v>
      </c>
    </row>
    <row r="293" spans="1:6" ht="45">
      <c r="A293" s="84">
        <v>16.23</v>
      </c>
      <c r="B293" s="85" t="s">
        <v>355</v>
      </c>
      <c r="C293" s="86">
        <v>60</v>
      </c>
      <c r="D293" s="86" t="s">
        <v>21</v>
      </c>
      <c r="E293" s="87">
        <v>45</v>
      </c>
      <c r="F293" s="129">
        <f t="shared" ref="F293" si="25">C293*E293</f>
        <v>2700</v>
      </c>
    </row>
    <row r="294" spans="1:6" ht="45">
      <c r="A294" s="84">
        <v>16.239999999999998</v>
      </c>
      <c r="B294" s="85" t="s">
        <v>340</v>
      </c>
      <c r="C294" s="86">
        <v>350</v>
      </c>
      <c r="D294" s="86" t="s">
        <v>45</v>
      </c>
      <c r="E294" s="87">
        <v>400</v>
      </c>
      <c r="F294" s="129">
        <f t="shared" si="23"/>
        <v>140000</v>
      </c>
    </row>
    <row r="295" spans="1:6" ht="30">
      <c r="A295" s="84">
        <v>16.25</v>
      </c>
      <c r="B295" s="91" t="s">
        <v>152</v>
      </c>
      <c r="C295" s="86">
        <v>14</v>
      </c>
      <c r="D295" s="86" t="s">
        <v>45</v>
      </c>
      <c r="E295" s="87">
        <v>370</v>
      </c>
      <c r="F295" s="129">
        <f t="shared" si="23"/>
        <v>5180</v>
      </c>
    </row>
    <row r="296" spans="1:6" ht="45">
      <c r="A296" s="84">
        <v>16.260000000000002</v>
      </c>
      <c r="B296" s="85" t="s">
        <v>341</v>
      </c>
      <c r="C296" s="86">
        <v>71</v>
      </c>
      <c r="D296" s="86" t="s">
        <v>45</v>
      </c>
      <c r="E296" s="87">
        <v>520</v>
      </c>
      <c r="F296" s="129">
        <f t="shared" si="23"/>
        <v>36920</v>
      </c>
    </row>
    <row r="297" spans="1:6" ht="45">
      <c r="A297" s="84">
        <v>16.27</v>
      </c>
      <c r="B297" s="85" t="s">
        <v>342</v>
      </c>
      <c r="C297" s="86">
        <v>57</v>
      </c>
      <c r="D297" s="86" t="s">
        <v>45</v>
      </c>
      <c r="E297" s="87">
        <v>420</v>
      </c>
      <c r="F297" s="129">
        <f t="shared" si="23"/>
        <v>23940</v>
      </c>
    </row>
    <row r="298" spans="1:6" ht="45">
      <c r="A298" s="84">
        <v>16.28</v>
      </c>
      <c r="B298" s="85" t="s">
        <v>343</v>
      </c>
      <c r="C298" s="86">
        <v>9</v>
      </c>
      <c r="D298" s="86" t="s">
        <v>45</v>
      </c>
      <c r="E298" s="87">
        <v>670</v>
      </c>
      <c r="F298" s="129">
        <f t="shared" si="23"/>
        <v>6030</v>
      </c>
    </row>
    <row r="299" spans="1:6" ht="30">
      <c r="A299" s="84">
        <v>16.29</v>
      </c>
      <c r="B299" s="85" t="s">
        <v>153</v>
      </c>
      <c r="C299" s="86">
        <v>19</v>
      </c>
      <c r="D299" s="86" t="s">
        <v>45</v>
      </c>
      <c r="E299" s="87">
        <v>500</v>
      </c>
      <c r="F299" s="129">
        <f t="shared" si="23"/>
        <v>9500</v>
      </c>
    </row>
    <row r="300" spans="1:6" ht="45">
      <c r="A300" s="84">
        <v>16.3</v>
      </c>
      <c r="B300" s="85" t="s">
        <v>344</v>
      </c>
      <c r="C300" s="86">
        <v>6</v>
      </c>
      <c r="D300" s="86" t="s">
        <v>45</v>
      </c>
      <c r="E300" s="87">
        <v>700</v>
      </c>
      <c r="F300" s="129">
        <f t="shared" si="23"/>
        <v>4200</v>
      </c>
    </row>
    <row r="301" spans="1:6" ht="45">
      <c r="A301" s="84">
        <v>16.309999999999999</v>
      </c>
      <c r="B301" s="85" t="s">
        <v>345</v>
      </c>
      <c r="C301" s="86">
        <v>15</v>
      </c>
      <c r="D301" s="86" t="s">
        <v>45</v>
      </c>
      <c r="E301" s="87">
        <v>670</v>
      </c>
      <c r="F301" s="129">
        <f t="shared" si="23"/>
        <v>10050</v>
      </c>
    </row>
    <row r="302" spans="1:6" ht="45">
      <c r="A302" s="108">
        <v>16.32</v>
      </c>
      <c r="B302" s="85" t="s">
        <v>346</v>
      </c>
      <c r="C302" s="86">
        <v>7</v>
      </c>
      <c r="D302" s="86" t="s">
        <v>45</v>
      </c>
      <c r="E302" s="87">
        <v>520</v>
      </c>
      <c r="F302" s="129">
        <f t="shared" si="23"/>
        <v>3640</v>
      </c>
    </row>
    <row r="303" spans="1:6" ht="15">
      <c r="A303" s="84">
        <v>16.329999999999998</v>
      </c>
      <c r="B303" s="85" t="s">
        <v>154</v>
      </c>
      <c r="C303" s="86">
        <v>4</v>
      </c>
      <c r="D303" s="86" t="s">
        <v>45</v>
      </c>
      <c r="E303" s="87">
        <v>450</v>
      </c>
      <c r="F303" s="129">
        <f t="shared" si="23"/>
        <v>1800</v>
      </c>
    </row>
    <row r="304" spans="1:6" ht="15">
      <c r="A304" s="84">
        <v>16.34</v>
      </c>
      <c r="B304" s="85" t="s">
        <v>155</v>
      </c>
      <c r="C304" s="86">
        <v>3</v>
      </c>
      <c r="D304" s="86" t="s">
        <v>45</v>
      </c>
      <c r="E304" s="87">
        <v>450</v>
      </c>
      <c r="F304" s="129">
        <f t="shared" si="23"/>
        <v>1350</v>
      </c>
    </row>
    <row r="305" spans="1:117" ht="15">
      <c r="A305" s="84">
        <v>16.350000000000001</v>
      </c>
      <c r="B305" s="85" t="s">
        <v>156</v>
      </c>
      <c r="C305" s="86">
        <v>6</v>
      </c>
      <c r="D305" s="86" t="s">
        <v>45</v>
      </c>
      <c r="E305" s="87">
        <v>620</v>
      </c>
      <c r="F305" s="129">
        <f t="shared" si="23"/>
        <v>3720</v>
      </c>
    </row>
    <row r="306" spans="1:117" ht="15">
      <c r="A306" s="84">
        <v>16.36</v>
      </c>
      <c r="B306" s="85" t="s">
        <v>157</v>
      </c>
      <c r="C306" s="86">
        <v>1</v>
      </c>
      <c r="D306" s="86" t="s">
        <v>45</v>
      </c>
      <c r="E306" s="87">
        <v>550</v>
      </c>
      <c r="F306" s="129">
        <f t="shared" si="23"/>
        <v>550</v>
      </c>
    </row>
    <row r="307" spans="1:117" ht="45">
      <c r="A307" s="84">
        <v>16.37</v>
      </c>
      <c r="B307" s="91" t="s">
        <v>398</v>
      </c>
      <c r="C307" s="86">
        <v>1</v>
      </c>
      <c r="D307" s="86" t="s">
        <v>25</v>
      </c>
      <c r="E307" s="87">
        <v>10000</v>
      </c>
      <c r="F307" s="129">
        <f t="shared" si="23"/>
        <v>10000</v>
      </c>
    </row>
    <row r="308" spans="1:117" ht="45">
      <c r="A308" s="84">
        <v>16.38</v>
      </c>
      <c r="B308" s="85" t="s">
        <v>158</v>
      </c>
      <c r="C308" s="86">
        <v>2</v>
      </c>
      <c r="D308" s="86" t="s">
        <v>25</v>
      </c>
      <c r="E308" s="87">
        <v>800</v>
      </c>
      <c r="F308" s="129">
        <f t="shared" si="23"/>
        <v>1600</v>
      </c>
    </row>
    <row r="309" spans="1:117" ht="30">
      <c r="A309" s="84">
        <v>16.39</v>
      </c>
      <c r="B309" s="85" t="s">
        <v>348</v>
      </c>
      <c r="C309" s="86">
        <v>4</v>
      </c>
      <c r="D309" s="86" t="s">
        <v>25</v>
      </c>
      <c r="E309" s="87">
        <v>620</v>
      </c>
      <c r="F309" s="129">
        <f t="shared" si="23"/>
        <v>2480</v>
      </c>
    </row>
    <row r="310" spans="1:117" ht="30">
      <c r="A310" s="84">
        <v>16.399999999999999</v>
      </c>
      <c r="B310" s="85" t="s">
        <v>347</v>
      </c>
      <c r="C310" s="86">
        <v>3</v>
      </c>
      <c r="D310" s="86" t="s">
        <v>25</v>
      </c>
      <c r="E310" s="87">
        <v>890</v>
      </c>
      <c r="F310" s="129">
        <f t="shared" si="23"/>
        <v>2670</v>
      </c>
    </row>
    <row r="311" spans="1:117" ht="30">
      <c r="A311" s="84">
        <v>16.41</v>
      </c>
      <c r="B311" s="85" t="s">
        <v>159</v>
      </c>
      <c r="C311" s="86">
        <v>12</v>
      </c>
      <c r="D311" s="86" t="s">
        <v>25</v>
      </c>
      <c r="E311" s="87">
        <v>530</v>
      </c>
      <c r="F311" s="129">
        <f t="shared" si="23"/>
        <v>6360</v>
      </c>
    </row>
    <row r="312" spans="1:117" ht="15">
      <c r="A312" s="113">
        <v>16.420000000000002</v>
      </c>
      <c r="B312" s="88" t="s">
        <v>349</v>
      </c>
      <c r="C312" s="89">
        <v>1</v>
      </c>
      <c r="D312" s="89" t="s">
        <v>7</v>
      </c>
      <c r="E312" s="90">
        <v>8000</v>
      </c>
      <c r="F312" s="129">
        <f t="shared" si="23"/>
        <v>8000</v>
      </c>
    </row>
    <row r="313" spans="1:117" ht="15">
      <c r="A313" s="109">
        <v>16.43</v>
      </c>
      <c r="B313" s="110" t="s">
        <v>350</v>
      </c>
      <c r="C313" s="111">
        <v>1</v>
      </c>
      <c r="D313" s="111" t="s">
        <v>7</v>
      </c>
      <c r="E313" s="112">
        <v>11000</v>
      </c>
      <c r="F313" s="129">
        <f t="shared" si="23"/>
        <v>11000</v>
      </c>
    </row>
    <row r="314" spans="1:117" ht="15" customHeight="1">
      <c r="B314" s="171" t="s">
        <v>160</v>
      </c>
      <c r="C314" s="172"/>
      <c r="D314" s="172"/>
      <c r="E314" s="173"/>
      <c r="F314" s="130">
        <f>SUM(F271:F313)</f>
        <v>561400</v>
      </c>
      <c r="CX314"/>
      <c r="CY314"/>
      <c r="CZ314"/>
      <c r="DA314"/>
      <c r="DB314"/>
      <c r="DC314"/>
      <c r="DD314"/>
      <c r="DE314"/>
      <c r="DF314"/>
      <c r="DG314"/>
      <c r="DH314"/>
      <c r="DI314"/>
      <c r="DJ314"/>
      <c r="DK314"/>
      <c r="DL314"/>
      <c r="DM314"/>
    </row>
    <row r="315" spans="1:117" ht="15" customHeight="1">
      <c r="B315" s="81"/>
      <c r="C315" s="82"/>
      <c r="D315" s="82"/>
      <c r="E315" s="83"/>
      <c r="F315" s="131"/>
      <c r="CX315"/>
      <c r="CY315"/>
      <c r="CZ315"/>
      <c r="DA315"/>
      <c r="DB315"/>
      <c r="DC315"/>
      <c r="DD315"/>
      <c r="DE315"/>
      <c r="DF315"/>
      <c r="DG315"/>
      <c r="DH315"/>
      <c r="DI315"/>
      <c r="DJ315"/>
      <c r="DK315"/>
      <c r="DL315"/>
      <c r="DM315"/>
    </row>
    <row r="316" spans="1:117">
      <c r="A316" s="92">
        <v>17</v>
      </c>
      <c r="B316" s="55" t="s">
        <v>213</v>
      </c>
      <c r="C316" s="55"/>
      <c r="D316" s="56"/>
      <c r="E316" s="55"/>
      <c r="F316" s="56"/>
      <c r="CX316"/>
      <c r="CY316"/>
      <c r="CZ316"/>
      <c r="DA316"/>
      <c r="DB316"/>
      <c r="DC316"/>
      <c r="DD316"/>
      <c r="DE316"/>
      <c r="DF316"/>
      <c r="DG316"/>
      <c r="DH316"/>
      <c r="DI316"/>
      <c r="DJ316"/>
      <c r="DK316"/>
      <c r="DL316"/>
      <c r="DM316"/>
    </row>
    <row r="317" spans="1:117">
      <c r="A317" s="92">
        <v>17.010000000000002</v>
      </c>
      <c r="B317" s="146" t="s">
        <v>329</v>
      </c>
      <c r="C317" s="30">
        <v>1</v>
      </c>
      <c r="D317" s="93" t="s">
        <v>7</v>
      </c>
      <c r="E317" s="92">
        <v>12500</v>
      </c>
      <c r="F317" s="132">
        <f>C317*E317</f>
        <v>12500</v>
      </c>
      <c r="CX317"/>
      <c r="CY317"/>
      <c r="CZ317"/>
      <c r="DA317"/>
      <c r="DB317"/>
      <c r="DC317"/>
      <c r="DD317"/>
      <c r="DE317"/>
      <c r="DF317"/>
      <c r="DG317"/>
      <c r="DH317"/>
      <c r="DI317"/>
      <c r="DJ317"/>
      <c r="DK317"/>
      <c r="DL317"/>
      <c r="DM317"/>
    </row>
    <row r="318" spans="1:117" ht="28.5">
      <c r="A318" s="92">
        <v>17.02</v>
      </c>
      <c r="B318" s="48" t="s">
        <v>214</v>
      </c>
      <c r="C318" s="30">
        <v>16</v>
      </c>
      <c r="D318" s="93" t="s">
        <v>25</v>
      </c>
      <c r="E318" s="92">
        <v>375</v>
      </c>
      <c r="F318" s="132">
        <f>C318*E318</f>
        <v>6000</v>
      </c>
      <c r="CX318"/>
      <c r="CY318"/>
      <c r="CZ318"/>
      <c r="DA318"/>
      <c r="DB318"/>
      <c r="DC318"/>
      <c r="DD318"/>
      <c r="DE318"/>
      <c r="DF318"/>
      <c r="DG318"/>
      <c r="DH318"/>
      <c r="DI318"/>
      <c r="DJ318"/>
      <c r="DK318"/>
      <c r="DL318"/>
      <c r="DM318"/>
    </row>
    <row r="319" spans="1:117" ht="28.5">
      <c r="A319" s="92">
        <v>17.03</v>
      </c>
      <c r="B319" s="48" t="s">
        <v>215</v>
      </c>
      <c r="C319" s="30">
        <v>1</v>
      </c>
      <c r="D319" s="93" t="s">
        <v>25</v>
      </c>
      <c r="E319" s="92">
        <v>450</v>
      </c>
      <c r="F319" s="132">
        <f t="shared" ref="F319:F334" si="26">C319*E319</f>
        <v>450</v>
      </c>
      <c r="CN319"/>
      <c r="CO319"/>
      <c r="CP319"/>
      <c r="CQ319"/>
      <c r="CR319"/>
      <c r="CS319"/>
      <c r="CT319"/>
      <c r="CU319"/>
      <c r="CV319"/>
      <c r="CW319"/>
      <c r="CX319"/>
      <c r="CY319"/>
      <c r="CZ319"/>
      <c r="DA319"/>
      <c r="DB319"/>
      <c r="DC319"/>
      <c r="DD319"/>
      <c r="DE319"/>
      <c r="DF319"/>
      <c r="DG319"/>
      <c r="DH319"/>
      <c r="DI319"/>
      <c r="DJ319"/>
      <c r="DK319"/>
      <c r="DL319"/>
      <c r="DM319"/>
    </row>
    <row r="320" spans="1:117" ht="14.45" customHeight="1">
      <c r="A320" s="92">
        <v>17.04</v>
      </c>
      <c r="B320" s="48" t="s">
        <v>216</v>
      </c>
      <c r="C320" s="30">
        <v>3</v>
      </c>
      <c r="D320" s="93" t="s">
        <v>25</v>
      </c>
      <c r="E320" s="92">
        <v>650</v>
      </c>
      <c r="F320" s="132">
        <f t="shared" si="26"/>
        <v>1950</v>
      </c>
      <c r="CN320"/>
      <c r="CO320"/>
      <c r="CP320"/>
      <c r="CQ320"/>
      <c r="CR320"/>
      <c r="CS320"/>
      <c r="CT320"/>
      <c r="CU320"/>
      <c r="CV320"/>
      <c r="CW320"/>
      <c r="CX320"/>
      <c r="CY320"/>
      <c r="CZ320"/>
      <c r="DA320"/>
      <c r="DB320"/>
      <c r="DC320"/>
      <c r="DD320"/>
      <c r="DE320"/>
      <c r="DF320"/>
      <c r="DG320"/>
      <c r="DH320"/>
      <c r="DI320"/>
      <c r="DJ320"/>
      <c r="DK320"/>
      <c r="DL320"/>
      <c r="DM320"/>
    </row>
    <row r="321" spans="1:117" ht="14.45" customHeight="1">
      <c r="A321" s="92">
        <v>17.05</v>
      </c>
      <c r="B321" s="48" t="s">
        <v>330</v>
      </c>
      <c r="C321" s="30">
        <v>12</v>
      </c>
      <c r="D321" s="93"/>
      <c r="E321" s="92">
        <v>650</v>
      </c>
      <c r="F321" s="132">
        <f t="shared" si="26"/>
        <v>7800</v>
      </c>
      <c r="CN321"/>
      <c r="CO321"/>
      <c r="CP321"/>
      <c r="CQ321"/>
      <c r="CR321"/>
      <c r="CS321"/>
      <c r="CT321"/>
      <c r="CU321"/>
      <c r="CV321"/>
      <c r="CW321"/>
      <c r="CX321"/>
      <c r="CY321"/>
      <c r="CZ321"/>
      <c r="DA321"/>
      <c r="DB321"/>
      <c r="DC321"/>
      <c r="DD321"/>
      <c r="DE321"/>
      <c r="DF321"/>
      <c r="DG321"/>
      <c r="DH321"/>
      <c r="DI321"/>
      <c r="DJ321"/>
      <c r="DK321"/>
      <c r="DL321"/>
      <c r="DM321"/>
    </row>
    <row r="322" spans="1:117" ht="28.5">
      <c r="A322" s="92">
        <v>17.059999999999999</v>
      </c>
      <c r="B322" s="48" t="s">
        <v>217</v>
      </c>
      <c r="C322" s="30">
        <v>8</v>
      </c>
      <c r="D322" s="93" t="s">
        <v>25</v>
      </c>
      <c r="E322" s="92">
        <v>450</v>
      </c>
      <c r="F322" s="132">
        <f t="shared" si="26"/>
        <v>3600</v>
      </c>
      <c r="CN322"/>
      <c r="CO322"/>
      <c r="CP322"/>
      <c r="CQ322"/>
      <c r="CR322"/>
      <c r="CS322"/>
      <c r="CT322"/>
      <c r="CU322"/>
      <c r="CV322"/>
      <c r="CW322"/>
      <c r="CX322"/>
      <c r="CY322"/>
      <c r="CZ322"/>
      <c r="DA322"/>
      <c r="DB322"/>
      <c r="DC322"/>
      <c r="DD322"/>
      <c r="DE322"/>
      <c r="DF322"/>
      <c r="DG322"/>
      <c r="DH322"/>
      <c r="DI322"/>
      <c r="DJ322"/>
      <c r="DK322"/>
      <c r="DL322"/>
      <c r="DM322"/>
    </row>
    <row r="323" spans="1:117" ht="28.5">
      <c r="A323" s="92">
        <v>17.07</v>
      </c>
      <c r="B323" s="48" t="s">
        <v>218</v>
      </c>
      <c r="C323" s="30">
        <v>16</v>
      </c>
      <c r="D323" s="93" t="s">
        <v>25</v>
      </c>
      <c r="E323" s="92">
        <v>750</v>
      </c>
      <c r="F323" s="132">
        <f t="shared" si="26"/>
        <v>12000</v>
      </c>
      <c r="CN323"/>
      <c r="CO323"/>
      <c r="CP323"/>
      <c r="CQ323"/>
      <c r="CR323"/>
      <c r="CS323"/>
      <c r="CT323"/>
      <c r="CU323"/>
      <c r="CV323"/>
      <c r="CW323"/>
      <c r="CX323"/>
      <c r="CY323"/>
      <c r="CZ323"/>
      <c r="DA323"/>
      <c r="DB323"/>
      <c r="DC323"/>
      <c r="DD323"/>
      <c r="DE323"/>
      <c r="DF323"/>
      <c r="DG323"/>
      <c r="DH323"/>
      <c r="DI323"/>
      <c r="DJ323"/>
      <c r="DK323"/>
      <c r="DL323"/>
      <c r="DM323"/>
    </row>
    <row r="324" spans="1:117" ht="28.5">
      <c r="A324" s="92">
        <v>17.079999999999998</v>
      </c>
      <c r="B324" s="48" t="s">
        <v>219</v>
      </c>
      <c r="C324" s="30">
        <v>2</v>
      </c>
      <c r="D324" s="93" t="s">
        <v>45</v>
      </c>
      <c r="E324" s="92">
        <v>9500</v>
      </c>
      <c r="F324" s="132">
        <f t="shared" si="26"/>
        <v>19000</v>
      </c>
      <c r="CN324"/>
      <c r="CO324"/>
      <c r="CP324"/>
      <c r="CQ324"/>
      <c r="CR324"/>
      <c r="CS324"/>
      <c r="CT324"/>
      <c r="CU324"/>
      <c r="CV324"/>
      <c r="CW324"/>
      <c r="CX324"/>
      <c r="CY324"/>
      <c r="CZ324"/>
      <c r="DA324"/>
      <c r="DB324"/>
      <c r="DC324"/>
      <c r="DD324"/>
      <c r="DE324"/>
      <c r="DF324"/>
      <c r="DG324"/>
      <c r="DH324"/>
      <c r="DI324"/>
      <c r="DJ324"/>
      <c r="DK324"/>
      <c r="DL324"/>
      <c r="DM324"/>
    </row>
    <row r="325" spans="1:117" ht="28.5">
      <c r="A325" s="92">
        <v>17.09</v>
      </c>
      <c r="B325" s="48" t="s">
        <v>220</v>
      </c>
      <c r="C325" s="30">
        <v>2</v>
      </c>
      <c r="D325" s="93" t="s">
        <v>45</v>
      </c>
      <c r="E325" s="92">
        <v>7500</v>
      </c>
      <c r="F325" s="132">
        <f t="shared" si="26"/>
        <v>15000</v>
      </c>
      <c r="CN325"/>
      <c r="CO325"/>
      <c r="CP325"/>
      <c r="CQ325"/>
      <c r="CR325"/>
      <c r="CS325"/>
      <c r="CT325"/>
      <c r="CU325"/>
      <c r="CV325"/>
      <c r="CW325"/>
      <c r="CX325"/>
      <c r="CY325"/>
      <c r="CZ325"/>
      <c r="DA325"/>
      <c r="DB325"/>
      <c r="DC325"/>
      <c r="DD325"/>
      <c r="DE325"/>
      <c r="DF325"/>
      <c r="DG325"/>
      <c r="DH325"/>
      <c r="DI325"/>
      <c r="DJ325"/>
      <c r="DK325"/>
      <c r="DL325"/>
      <c r="DM325"/>
    </row>
    <row r="326" spans="1:117" ht="57">
      <c r="A326" s="94">
        <v>17.100000000000001</v>
      </c>
      <c r="B326" s="48" t="s">
        <v>221</v>
      </c>
      <c r="C326" s="30">
        <v>10</v>
      </c>
      <c r="D326" s="93" t="s">
        <v>25</v>
      </c>
      <c r="E326" s="92">
        <v>9500</v>
      </c>
      <c r="F326" s="132">
        <f t="shared" si="26"/>
        <v>95000</v>
      </c>
      <c r="DD326"/>
      <c r="DE326"/>
      <c r="DF326"/>
      <c r="DG326"/>
      <c r="DH326"/>
      <c r="DI326"/>
      <c r="DJ326"/>
      <c r="DK326"/>
      <c r="DL326"/>
      <c r="DM326"/>
    </row>
    <row r="327" spans="1:117">
      <c r="A327" s="92">
        <v>17.11</v>
      </c>
      <c r="B327" s="48" t="s">
        <v>222</v>
      </c>
      <c r="C327" s="30">
        <v>1</v>
      </c>
      <c r="D327" s="93" t="s">
        <v>7</v>
      </c>
      <c r="E327" s="92">
        <v>850</v>
      </c>
      <c r="F327" s="132">
        <f t="shared" si="26"/>
        <v>850</v>
      </c>
      <c r="DD327"/>
      <c r="DE327"/>
      <c r="DF327"/>
      <c r="DG327"/>
      <c r="DH327"/>
      <c r="DI327"/>
      <c r="DJ327"/>
      <c r="DK327"/>
      <c r="DL327"/>
      <c r="DM327"/>
    </row>
    <row r="328" spans="1:117">
      <c r="A328" s="92">
        <v>17.12</v>
      </c>
      <c r="B328" s="48" t="s">
        <v>223</v>
      </c>
      <c r="C328" s="30">
        <v>1</v>
      </c>
      <c r="D328" s="93" t="s">
        <v>7</v>
      </c>
      <c r="E328" s="92">
        <v>3500</v>
      </c>
      <c r="F328" s="132">
        <f t="shared" si="26"/>
        <v>3500</v>
      </c>
      <c r="DD328"/>
      <c r="DE328"/>
      <c r="DF328"/>
      <c r="DG328"/>
      <c r="DH328"/>
      <c r="DI328"/>
      <c r="DJ328"/>
      <c r="DK328"/>
      <c r="DL328"/>
      <c r="DM328"/>
    </row>
    <row r="329" spans="1:117" ht="15">
      <c r="A329" s="92"/>
      <c r="B329" s="49" t="s">
        <v>224</v>
      </c>
      <c r="C329" s="30"/>
      <c r="D329" s="93"/>
      <c r="E329" s="92"/>
      <c r="F329" s="132">
        <f t="shared" si="26"/>
        <v>0</v>
      </c>
      <c r="DD329"/>
      <c r="DE329"/>
      <c r="DF329"/>
      <c r="DG329"/>
      <c r="DH329"/>
      <c r="DI329"/>
      <c r="DJ329"/>
      <c r="DK329"/>
      <c r="DL329"/>
      <c r="DM329"/>
    </row>
    <row r="330" spans="1:117" ht="28.5">
      <c r="A330" s="92">
        <v>17.13</v>
      </c>
      <c r="B330" s="48" t="s">
        <v>225</v>
      </c>
      <c r="C330" s="30">
        <v>1</v>
      </c>
      <c r="D330" s="93" t="s">
        <v>45</v>
      </c>
      <c r="E330" s="92">
        <v>450</v>
      </c>
      <c r="F330" s="132">
        <f t="shared" si="26"/>
        <v>450</v>
      </c>
      <c r="DD330"/>
      <c r="DE330"/>
      <c r="DF330"/>
      <c r="DG330"/>
      <c r="DH330"/>
      <c r="DI330"/>
      <c r="DJ330"/>
      <c r="DK330"/>
      <c r="DL330"/>
      <c r="DM330"/>
    </row>
    <row r="331" spans="1:117" ht="28.5">
      <c r="A331" s="92">
        <v>17.14</v>
      </c>
      <c r="B331" s="48" t="s">
        <v>226</v>
      </c>
      <c r="C331" s="30">
        <v>6</v>
      </c>
      <c r="D331" s="93" t="s">
        <v>45</v>
      </c>
      <c r="E331" s="92">
        <v>375</v>
      </c>
      <c r="F331" s="132">
        <f t="shared" si="26"/>
        <v>2250</v>
      </c>
      <c r="DD331"/>
      <c r="DE331"/>
      <c r="DF331"/>
      <c r="DG331"/>
      <c r="DH331"/>
      <c r="DI331"/>
      <c r="DJ331"/>
      <c r="DK331"/>
      <c r="DL331"/>
      <c r="DM331"/>
    </row>
    <row r="332" spans="1:117" ht="28.5">
      <c r="A332" s="92">
        <v>17.149999999999999</v>
      </c>
      <c r="B332" s="48" t="s">
        <v>227</v>
      </c>
      <c r="C332" s="30">
        <v>11</v>
      </c>
      <c r="D332" s="93" t="s">
        <v>45</v>
      </c>
      <c r="E332" s="92">
        <v>750</v>
      </c>
      <c r="F332" s="132">
        <f t="shared" si="26"/>
        <v>8250</v>
      </c>
      <c r="DD332"/>
      <c r="DE332"/>
      <c r="DF332"/>
      <c r="DG332"/>
      <c r="DH332"/>
      <c r="DI332"/>
      <c r="DJ332"/>
      <c r="DK332"/>
      <c r="DL332"/>
      <c r="DM332"/>
    </row>
    <row r="333" spans="1:117">
      <c r="A333" s="92"/>
      <c r="B333" s="48" t="s">
        <v>399</v>
      </c>
      <c r="C333" s="30">
        <v>10</v>
      </c>
      <c r="D333" s="93" t="s">
        <v>25</v>
      </c>
      <c r="E333" s="92">
        <v>575</v>
      </c>
      <c r="F333" s="132">
        <f t="shared" si="26"/>
        <v>5750</v>
      </c>
      <c r="DD333"/>
      <c r="DE333"/>
      <c r="DF333"/>
      <c r="DG333"/>
      <c r="DH333"/>
      <c r="DI333"/>
      <c r="DJ333"/>
      <c r="DK333"/>
      <c r="DL333"/>
      <c r="DM333"/>
    </row>
    <row r="334" spans="1:117" ht="28.5">
      <c r="A334" s="92">
        <v>17.16</v>
      </c>
      <c r="B334" s="48" t="s">
        <v>228</v>
      </c>
      <c r="C334" s="30">
        <v>1</v>
      </c>
      <c r="D334" s="93" t="s">
        <v>7</v>
      </c>
      <c r="E334" s="92">
        <v>650</v>
      </c>
      <c r="F334" s="132">
        <f t="shared" si="26"/>
        <v>650</v>
      </c>
      <c r="DD334"/>
      <c r="DE334"/>
      <c r="DF334"/>
      <c r="DG334"/>
      <c r="DH334"/>
      <c r="DI334"/>
      <c r="DJ334"/>
      <c r="DK334"/>
      <c r="DL334"/>
      <c r="DM334"/>
    </row>
    <row r="335" spans="1:117" ht="15" customHeight="1">
      <c r="B335" s="160" t="s">
        <v>229</v>
      </c>
      <c r="C335" s="161"/>
      <c r="D335" s="161"/>
      <c r="E335" s="162"/>
      <c r="F335" s="115">
        <f>SUM(F318:F334)</f>
        <v>182500</v>
      </c>
      <c r="DD335"/>
      <c r="DE335"/>
      <c r="DF335"/>
      <c r="DG335"/>
      <c r="DH335"/>
      <c r="DI335"/>
      <c r="DJ335"/>
      <c r="DK335"/>
      <c r="DL335"/>
      <c r="DM335"/>
    </row>
    <row r="336" spans="1:117" ht="15">
      <c r="A336" s="50"/>
      <c r="B336" s="51"/>
      <c r="C336" s="51"/>
      <c r="D336" s="51"/>
      <c r="E336" s="52"/>
      <c r="F336" s="115"/>
      <c r="DD336"/>
      <c r="DE336"/>
      <c r="DF336"/>
      <c r="DG336"/>
      <c r="DH336"/>
      <c r="DI336"/>
      <c r="DJ336"/>
      <c r="DK336"/>
      <c r="DL336"/>
      <c r="DM336"/>
    </row>
    <row r="337" spans="1:117">
      <c r="A337" s="92">
        <v>18</v>
      </c>
      <c r="B337" s="55" t="s">
        <v>230</v>
      </c>
      <c r="C337" s="55"/>
      <c r="D337" s="55"/>
      <c r="E337" s="55"/>
      <c r="F337" s="56"/>
      <c r="DD337"/>
      <c r="DE337"/>
      <c r="DF337"/>
      <c r="DG337"/>
      <c r="DH337"/>
      <c r="DI337"/>
      <c r="DJ337"/>
      <c r="DK337"/>
      <c r="DL337"/>
      <c r="DM337"/>
    </row>
    <row r="338" spans="1:117" ht="57">
      <c r="A338" s="92">
        <v>18.010000000000002</v>
      </c>
      <c r="B338" s="48" t="s">
        <v>231</v>
      </c>
      <c r="C338" s="93">
        <v>15</v>
      </c>
      <c r="D338" s="93" t="s">
        <v>25</v>
      </c>
      <c r="E338" s="92">
        <v>475</v>
      </c>
      <c r="F338" s="132">
        <f t="shared" ref="F338" si="27">C338*E338</f>
        <v>7125</v>
      </c>
      <c r="DD338"/>
      <c r="DE338"/>
      <c r="DF338"/>
      <c r="DG338"/>
      <c r="DH338"/>
      <c r="DI338"/>
      <c r="DJ338"/>
      <c r="DK338"/>
      <c r="DL338"/>
      <c r="DM338"/>
    </row>
    <row r="339" spans="1:117" ht="57">
      <c r="A339" s="92">
        <v>18.02</v>
      </c>
      <c r="B339" s="48" t="s">
        <v>232</v>
      </c>
      <c r="C339" s="93">
        <v>86</v>
      </c>
      <c r="D339" s="93" t="s">
        <v>25</v>
      </c>
      <c r="E339" s="92">
        <v>675</v>
      </c>
      <c r="F339" s="132">
        <f t="shared" ref="F339:F346" si="28">C339*E339</f>
        <v>58050</v>
      </c>
      <c r="DD339"/>
      <c r="DE339"/>
      <c r="DF339"/>
      <c r="DG339"/>
      <c r="DH339"/>
      <c r="DI339"/>
      <c r="DJ339"/>
      <c r="DK339"/>
      <c r="DL339"/>
      <c r="DM339"/>
    </row>
    <row r="340" spans="1:117" ht="28.5">
      <c r="A340" s="92">
        <v>18.03</v>
      </c>
      <c r="B340" s="48" t="s">
        <v>233</v>
      </c>
      <c r="C340" s="93">
        <v>10</v>
      </c>
      <c r="D340" s="93" t="s">
        <v>234</v>
      </c>
      <c r="E340" s="92">
        <v>375</v>
      </c>
      <c r="F340" s="132">
        <f t="shared" si="28"/>
        <v>3750</v>
      </c>
      <c r="DD340"/>
      <c r="DE340"/>
      <c r="DF340"/>
      <c r="DG340"/>
      <c r="DH340"/>
      <c r="DI340"/>
      <c r="DJ340"/>
      <c r="DK340"/>
      <c r="DL340"/>
      <c r="DM340"/>
    </row>
    <row r="341" spans="1:117">
      <c r="A341" s="92">
        <v>18.04</v>
      </c>
      <c r="B341" s="48" t="s">
        <v>235</v>
      </c>
      <c r="C341" s="95">
        <v>1</v>
      </c>
      <c r="D341" s="93" t="s">
        <v>7</v>
      </c>
      <c r="E341" s="92">
        <v>4500</v>
      </c>
      <c r="F341" s="132">
        <f t="shared" si="28"/>
        <v>4500</v>
      </c>
      <c r="DD341"/>
      <c r="DE341"/>
      <c r="DF341"/>
      <c r="DG341"/>
      <c r="DH341"/>
      <c r="DI341"/>
      <c r="DJ341"/>
      <c r="DK341"/>
      <c r="DL341"/>
      <c r="DM341"/>
    </row>
    <row r="342" spans="1:117">
      <c r="A342" s="92">
        <v>18.05</v>
      </c>
      <c r="B342" s="48" t="s">
        <v>332</v>
      </c>
      <c r="C342" s="95">
        <v>5</v>
      </c>
      <c r="D342" s="93" t="s">
        <v>25</v>
      </c>
      <c r="E342" s="92">
        <v>3400</v>
      </c>
      <c r="F342" s="132">
        <f t="shared" si="28"/>
        <v>17000</v>
      </c>
      <c r="DD342"/>
      <c r="DE342"/>
      <c r="DF342"/>
      <c r="DG342"/>
      <c r="DH342"/>
      <c r="DI342"/>
      <c r="DJ342"/>
      <c r="DK342"/>
      <c r="DL342"/>
      <c r="DM342"/>
    </row>
    <row r="343" spans="1:117">
      <c r="A343" s="92">
        <v>18.059999999999999</v>
      </c>
      <c r="B343" s="48" t="s">
        <v>236</v>
      </c>
      <c r="C343" s="95">
        <v>1</v>
      </c>
      <c r="D343" s="93" t="s">
        <v>7</v>
      </c>
      <c r="E343" s="92">
        <v>2500</v>
      </c>
      <c r="F343" s="132">
        <f t="shared" si="28"/>
        <v>2500</v>
      </c>
      <c r="DD343"/>
      <c r="DE343"/>
      <c r="DF343"/>
      <c r="DG343"/>
      <c r="DH343"/>
      <c r="DI343"/>
      <c r="DJ343"/>
      <c r="DK343"/>
      <c r="DL343"/>
      <c r="DM343"/>
    </row>
    <row r="344" spans="1:117">
      <c r="A344" s="92">
        <v>18.07</v>
      </c>
      <c r="B344" s="48" t="s">
        <v>237</v>
      </c>
      <c r="C344" s="95">
        <v>1</v>
      </c>
      <c r="D344" s="93" t="s">
        <v>9</v>
      </c>
      <c r="E344" s="92">
        <v>1500</v>
      </c>
      <c r="F344" s="132">
        <f t="shared" si="28"/>
        <v>1500</v>
      </c>
      <c r="DD344"/>
      <c r="DE344"/>
      <c r="DF344"/>
      <c r="DG344"/>
      <c r="DH344"/>
      <c r="DI344"/>
      <c r="DJ344"/>
      <c r="DK344"/>
      <c r="DL344"/>
      <c r="DM344"/>
    </row>
    <row r="345" spans="1:117">
      <c r="A345" s="92">
        <v>10.08</v>
      </c>
      <c r="B345" s="48" t="s">
        <v>400</v>
      </c>
      <c r="C345" s="95">
        <v>1</v>
      </c>
      <c r="D345" s="93"/>
      <c r="E345" s="92">
        <v>3500</v>
      </c>
      <c r="F345" s="132">
        <f t="shared" si="28"/>
        <v>3500</v>
      </c>
      <c r="DD345"/>
      <c r="DE345"/>
      <c r="DF345"/>
      <c r="DG345"/>
      <c r="DH345"/>
      <c r="DI345"/>
      <c r="DJ345"/>
      <c r="DK345"/>
      <c r="DL345"/>
      <c r="DM345"/>
    </row>
    <row r="346" spans="1:117">
      <c r="A346" s="92">
        <v>10.09</v>
      </c>
      <c r="B346" s="48" t="s">
        <v>331</v>
      </c>
      <c r="C346" s="95">
        <v>1</v>
      </c>
      <c r="D346" s="93" t="s">
        <v>7</v>
      </c>
      <c r="E346" s="92">
        <v>6500</v>
      </c>
      <c r="F346" s="132">
        <f t="shared" si="28"/>
        <v>6500</v>
      </c>
      <c r="DD346"/>
      <c r="DE346"/>
      <c r="DF346"/>
      <c r="DG346"/>
      <c r="DH346"/>
      <c r="DI346"/>
      <c r="DJ346"/>
      <c r="DK346"/>
      <c r="DL346"/>
      <c r="DM346"/>
    </row>
    <row r="347" spans="1:117" ht="15" customHeight="1">
      <c r="B347" s="160" t="s">
        <v>238</v>
      </c>
      <c r="C347" s="161"/>
      <c r="D347" s="161"/>
      <c r="E347" s="162"/>
      <c r="F347" s="56">
        <f>SUM(F338:F346)</f>
        <v>104425</v>
      </c>
      <c r="DD347"/>
      <c r="DE347"/>
      <c r="DF347"/>
      <c r="DG347"/>
      <c r="DH347"/>
      <c r="DI347"/>
      <c r="DJ347"/>
      <c r="DK347"/>
      <c r="DL347"/>
      <c r="DM347"/>
    </row>
    <row r="348" spans="1:117" ht="15">
      <c r="A348" s="50"/>
      <c r="B348" s="51"/>
      <c r="C348" s="51"/>
      <c r="D348" s="51"/>
      <c r="E348" s="52"/>
      <c r="F348" s="56"/>
      <c r="DD348"/>
      <c r="DE348"/>
      <c r="DF348"/>
      <c r="DG348"/>
      <c r="DH348"/>
      <c r="DI348"/>
      <c r="DJ348"/>
      <c r="DK348"/>
      <c r="DL348"/>
      <c r="DM348"/>
    </row>
    <row r="349" spans="1:117">
      <c r="A349" s="99">
        <v>19</v>
      </c>
      <c r="B349" s="100" t="s">
        <v>239</v>
      </c>
      <c r="C349" s="100"/>
      <c r="D349" s="100"/>
      <c r="E349" s="100"/>
      <c r="F349" s="133"/>
      <c r="DD349"/>
      <c r="DE349"/>
      <c r="DF349"/>
      <c r="DG349"/>
      <c r="DH349"/>
      <c r="DI349"/>
      <c r="DJ349"/>
      <c r="DK349"/>
      <c r="DL349"/>
      <c r="DM349"/>
    </row>
    <row r="350" spans="1:117" ht="28.5">
      <c r="A350" s="96">
        <v>19.010000000000002</v>
      </c>
      <c r="B350" s="104" t="s">
        <v>333</v>
      </c>
      <c r="C350" s="105">
        <v>1</v>
      </c>
      <c r="D350" s="105" t="s">
        <v>25</v>
      </c>
      <c r="E350" s="105">
        <v>14500</v>
      </c>
      <c r="F350" s="134">
        <f>C350*E350</f>
        <v>14500</v>
      </c>
      <c r="DD350"/>
      <c r="DE350"/>
      <c r="DF350"/>
      <c r="DG350"/>
      <c r="DH350"/>
      <c r="DI350"/>
      <c r="DJ350"/>
      <c r="DK350"/>
      <c r="DL350"/>
      <c r="DM350"/>
    </row>
    <row r="351" spans="1:117" ht="15" customHeight="1">
      <c r="A351" s="97"/>
      <c r="B351" s="98" t="s">
        <v>240</v>
      </c>
      <c r="C351" s="106"/>
      <c r="D351" s="106"/>
      <c r="E351" s="106"/>
      <c r="F351" s="135">
        <f>SUM(F350)</f>
        <v>14500</v>
      </c>
      <c r="DD351"/>
      <c r="DE351"/>
      <c r="DF351"/>
      <c r="DG351"/>
      <c r="DH351"/>
      <c r="DI351"/>
      <c r="DJ351"/>
      <c r="DK351"/>
      <c r="DL351"/>
      <c r="DM351"/>
    </row>
    <row r="352" spans="1:117" ht="15">
      <c r="A352" s="101"/>
      <c r="B352" s="102"/>
      <c r="C352" s="102"/>
      <c r="D352" s="102"/>
      <c r="E352" s="103"/>
      <c r="F352" s="136"/>
      <c r="DD352"/>
      <c r="DE352"/>
      <c r="DF352"/>
      <c r="DG352"/>
      <c r="DH352"/>
      <c r="DI352"/>
      <c r="DJ352"/>
      <c r="DK352"/>
      <c r="DL352"/>
      <c r="DM352"/>
    </row>
    <row r="353" spans="1:117" ht="15">
      <c r="A353" s="92">
        <v>20</v>
      </c>
      <c r="B353" s="57" t="s">
        <v>241</v>
      </c>
      <c r="C353" s="55"/>
      <c r="D353" s="55"/>
      <c r="E353" s="55"/>
      <c r="F353" s="56"/>
      <c r="DD353"/>
      <c r="DE353"/>
      <c r="DF353"/>
      <c r="DG353"/>
      <c r="DH353"/>
      <c r="DI353"/>
      <c r="DJ353"/>
      <c r="DK353"/>
      <c r="DL353"/>
      <c r="DM353"/>
    </row>
    <row r="354" spans="1:117" ht="28.5">
      <c r="A354" s="92">
        <v>20.010000000000002</v>
      </c>
      <c r="B354" s="45" t="s">
        <v>242</v>
      </c>
      <c r="C354" s="92">
        <v>10</v>
      </c>
      <c r="D354" s="30" t="s">
        <v>25</v>
      </c>
      <c r="E354" s="92">
        <v>465</v>
      </c>
      <c r="F354" s="134">
        <f>C354*E354</f>
        <v>4650</v>
      </c>
      <c r="DD354"/>
      <c r="DE354"/>
      <c r="DF354"/>
      <c r="DG354"/>
      <c r="DH354"/>
      <c r="DI354"/>
      <c r="DJ354"/>
      <c r="DK354"/>
      <c r="DL354"/>
      <c r="DM354"/>
    </row>
    <row r="355" spans="1:117">
      <c r="A355" s="92">
        <v>20.02</v>
      </c>
      <c r="B355" s="45" t="s">
        <v>243</v>
      </c>
      <c r="C355" s="92">
        <v>3</v>
      </c>
      <c r="D355" s="30" t="s">
        <v>25</v>
      </c>
      <c r="E355" s="92">
        <v>245</v>
      </c>
      <c r="F355" s="134">
        <f t="shared" ref="F355:F364" si="29">C355*E355</f>
        <v>735</v>
      </c>
      <c r="DD355"/>
      <c r="DE355"/>
      <c r="DF355"/>
      <c r="DG355"/>
      <c r="DH355"/>
      <c r="DI355"/>
      <c r="DJ355"/>
      <c r="DK355"/>
      <c r="DL355"/>
      <c r="DM355"/>
    </row>
    <row r="356" spans="1:117">
      <c r="A356" s="92">
        <v>20.03</v>
      </c>
      <c r="B356" s="45" t="s">
        <v>244</v>
      </c>
      <c r="C356" s="92">
        <v>3</v>
      </c>
      <c r="D356" s="30" t="s">
        <v>25</v>
      </c>
      <c r="E356" s="92">
        <v>1250</v>
      </c>
      <c r="F356" s="134">
        <f t="shared" si="29"/>
        <v>3750</v>
      </c>
    </row>
    <row r="357" spans="1:117">
      <c r="A357" s="92">
        <v>20.04</v>
      </c>
      <c r="B357" s="45" t="s">
        <v>245</v>
      </c>
      <c r="C357" s="92">
        <v>1</v>
      </c>
      <c r="D357" s="30" t="s">
        <v>7</v>
      </c>
      <c r="E357" s="92">
        <v>1500</v>
      </c>
      <c r="F357" s="134">
        <f t="shared" si="29"/>
        <v>1500</v>
      </c>
    </row>
    <row r="358" spans="1:117">
      <c r="A358" s="92">
        <v>20.05</v>
      </c>
      <c r="B358" s="45" t="s">
        <v>246</v>
      </c>
      <c r="C358" s="92">
        <v>1</v>
      </c>
      <c r="D358" s="30" t="s">
        <v>7</v>
      </c>
      <c r="E358" s="92">
        <v>4500</v>
      </c>
      <c r="F358" s="134">
        <f t="shared" si="29"/>
        <v>4500</v>
      </c>
    </row>
    <row r="359" spans="1:117" ht="15">
      <c r="A359" s="92"/>
      <c r="B359" s="53" t="s">
        <v>247</v>
      </c>
      <c r="C359" s="92"/>
      <c r="D359" s="30"/>
      <c r="E359" s="92"/>
      <c r="F359" s="134">
        <f t="shared" si="29"/>
        <v>0</v>
      </c>
    </row>
    <row r="360" spans="1:117" ht="28.5">
      <c r="A360" s="92">
        <v>20.059999999999999</v>
      </c>
      <c r="B360" s="45" t="s">
        <v>248</v>
      </c>
      <c r="C360" s="30">
        <v>20</v>
      </c>
      <c r="D360" s="30" t="s">
        <v>25</v>
      </c>
      <c r="E360" s="92">
        <v>225</v>
      </c>
      <c r="F360" s="134">
        <f t="shared" si="29"/>
        <v>4500</v>
      </c>
    </row>
    <row r="361" spans="1:117">
      <c r="A361" s="92">
        <v>20.07</v>
      </c>
      <c r="B361" s="45" t="s">
        <v>249</v>
      </c>
      <c r="C361" s="30">
        <v>8</v>
      </c>
      <c r="D361" s="30" t="s">
        <v>25</v>
      </c>
      <c r="E361" s="92">
        <v>375</v>
      </c>
      <c r="F361" s="134">
        <f t="shared" si="29"/>
        <v>3000</v>
      </c>
    </row>
    <row r="362" spans="1:117" ht="28.5">
      <c r="A362" s="92">
        <v>20.079999999999998</v>
      </c>
      <c r="B362" s="45" t="s">
        <v>250</v>
      </c>
      <c r="C362" s="30">
        <v>1</v>
      </c>
      <c r="D362" s="30" t="s">
        <v>45</v>
      </c>
      <c r="E362" s="92">
        <v>5500</v>
      </c>
      <c r="F362" s="134">
        <f t="shared" si="29"/>
        <v>5500</v>
      </c>
    </row>
    <row r="363" spans="1:117">
      <c r="A363" s="92">
        <v>20.09</v>
      </c>
      <c r="B363" s="45" t="s">
        <v>251</v>
      </c>
      <c r="C363" s="30">
        <v>8</v>
      </c>
      <c r="D363" s="30" t="s">
        <v>25</v>
      </c>
      <c r="E363" s="92">
        <v>650</v>
      </c>
      <c r="F363" s="134">
        <f t="shared" si="29"/>
        <v>5200</v>
      </c>
    </row>
    <row r="364" spans="1:117" ht="28.5">
      <c r="A364" s="92">
        <v>20.100000000000001</v>
      </c>
      <c r="B364" s="45" t="s">
        <v>334</v>
      </c>
      <c r="C364" s="30">
        <v>1</v>
      </c>
      <c r="D364" s="30" t="s">
        <v>25</v>
      </c>
      <c r="E364" s="92">
        <v>750</v>
      </c>
      <c r="F364" s="134">
        <f t="shared" si="29"/>
        <v>750</v>
      </c>
    </row>
    <row r="365" spans="1:117">
      <c r="A365" s="92">
        <v>20.11</v>
      </c>
      <c r="B365" s="45" t="s">
        <v>335</v>
      </c>
      <c r="C365" s="92">
        <v>1</v>
      </c>
      <c r="D365" s="30" t="s">
        <v>25</v>
      </c>
      <c r="E365" s="92">
        <v>0</v>
      </c>
      <c r="F365" s="134">
        <v>850</v>
      </c>
    </row>
    <row r="366" spans="1:117">
      <c r="A366" s="92">
        <v>20.12</v>
      </c>
      <c r="B366" s="45" t="s">
        <v>252</v>
      </c>
      <c r="C366" s="92">
        <v>1</v>
      </c>
      <c r="D366" s="30" t="s">
        <v>45</v>
      </c>
      <c r="E366" s="92">
        <v>0</v>
      </c>
      <c r="F366" s="134">
        <v>750</v>
      </c>
    </row>
    <row r="367" spans="1:117" ht="28.5">
      <c r="A367" s="92">
        <v>20.13</v>
      </c>
      <c r="B367" s="45" t="s">
        <v>253</v>
      </c>
      <c r="C367" s="92">
        <v>1</v>
      </c>
      <c r="D367" s="30" t="s">
        <v>45</v>
      </c>
      <c r="E367" s="92">
        <v>0</v>
      </c>
      <c r="F367" s="134">
        <v>450</v>
      </c>
    </row>
    <row r="368" spans="1:117">
      <c r="A368" s="92">
        <v>20.14</v>
      </c>
      <c r="B368" s="45" t="s">
        <v>254</v>
      </c>
      <c r="C368" s="92">
        <v>1</v>
      </c>
      <c r="D368" s="30" t="s">
        <v>7</v>
      </c>
      <c r="E368" s="92">
        <v>0</v>
      </c>
      <c r="F368" s="134">
        <v>700</v>
      </c>
    </row>
    <row r="369" spans="1:6">
      <c r="A369" s="107">
        <v>20.149999999999999</v>
      </c>
      <c r="B369" s="45" t="s">
        <v>255</v>
      </c>
      <c r="C369" s="92">
        <v>1</v>
      </c>
      <c r="D369" s="30" t="s">
        <v>7</v>
      </c>
      <c r="E369" s="92">
        <v>0</v>
      </c>
      <c r="F369" s="132">
        <v>2500</v>
      </c>
    </row>
    <row r="370" spans="1:6" ht="15" customHeight="1">
      <c r="A370" s="97"/>
      <c r="B370" s="163" t="s">
        <v>256</v>
      </c>
      <c r="C370" s="163"/>
      <c r="D370" s="163"/>
      <c r="E370" s="164"/>
      <c r="F370" s="153">
        <f>SUM(F354:F369)</f>
        <v>39335</v>
      </c>
    </row>
    <row r="372" spans="1:6" ht="15">
      <c r="A372" s="183" t="s">
        <v>257</v>
      </c>
      <c r="B372" s="184"/>
      <c r="C372" s="184"/>
      <c r="D372" s="184"/>
      <c r="E372" s="184"/>
      <c r="F372" s="185"/>
    </row>
    <row r="373" spans="1:6">
      <c r="A373" s="45">
        <v>1</v>
      </c>
      <c r="B373" s="188" t="s">
        <v>6</v>
      </c>
      <c r="C373" s="189"/>
      <c r="D373" s="189"/>
      <c r="E373" s="190"/>
      <c r="F373" s="137">
        <f>F23</f>
        <v>139290</v>
      </c>
    </row>
    <row r="374" spans="1:6">
      <c r="A374" s="45">
        <v>2</v>
      </c>
      <c r="B374" s="188" t="s">
        <v>18</v>
      </c>
      <c r="C374" s="189"/>
      <c r="D374" s="189"/>
      <c r="E374" s="190"/>
      <c r="F374" s="137">
        <f>F40</f>
        <v>398630</v>
      </c>
    </row>
    <row r="375" spans="1:6">
      <c r="A375" s="45">
        <v>3</v>
      </c>
      <c r="B375" s="188" t="s">
        <v>23</v>
      </c>
      <c r="C375" s="189"/>
      <c r="D375" s="189"/>
      <c r="E375" s="190"/>
      <c r="F375" s="137">
        <f>F51</f>
        <v>545675</v>
      </c>
    </row>
    <row r="376" spans="1:6">
      <c r="A376" s="45">
        <v>4</v>
      </c>
      <c r="B376" s="188" t="s">
        <v>27</v>
      </c>
      <c r="C376" s="189"/>
      <c r="D376" s="189"/>
      <c r="E376" s="190"/>
      <c r="F376" s="137">
        <f>F63</f>
        <v>638467</v>
      </c>
    </row>
    <row r="377" spans="1:6">
      <c r="A377" s="45">
        <v>5</v>
      </c>
      <c r="B377" s="188" t="s">
        <v>29</v>
      </c>
      <c r="C377" s="189"/>
      <c r="D377" s="189"/>
      <c r="E377" s="190"/>
      <c r="F377" s="137">
        <f>F76</f>
        <v>119970</v>
      </c>
    </row>
    <row r="378" spans="1:6">
      <c r="A378" s="45">
        <v>6</v>
      </c>
      <c r="B378" s="188" t="s">
        <v>31</v>
      </c>
      <c r="C378" s="189"/>
      <c r="D378" s="189"/>
      <c r="E378" s="190"/>
      <c r="F378" s="137">
        <f>F87</f>
        <v>58140</v>
      </c>
    </row>
    <row r="379" spans="1:6">
      <c r="A379" s="45">
        <v>7</v>
      </c>
      <c r="B379" s="188" t="s">
        <v>33</v>
      </c>
      <c r="C379" s="189"/>
      <c r="D379" s="189"/>
      <c r="E379" s="190"/>
      <c r="F379" s="137">
        <f>F122</f>
        <v>0</v>
      </c>
    </row>
    <row r="380" spans="1:6">
      <c r="A380" s="45">
        <v>8</v>
      </c>
      <c r="B380" s="188" t="s">
        <v>258</v>
      </c>
      <c r="C380" s="189"/>
      <c r="D380" s="189"/>
      <c r="E380" s="190"/>
      <c r="F380" s="137">
        <f>F132</f>
        <v>101525</v>
      </c>
    </row>
    <row r="381" spans="1:6">
      <c r="A381" s="45">
        <v>9</v>
      </c>
      <c r="B381" s="188" t="s">
        <v>259</v>
      </c>
      <c r="C381" s="189"/>
      <c r="D381" s="189"/>
      <c r="E381" s="190"/>
      <c r="F381" s="137">
        <f>F144</f>
        <v>28200</v>
      </c>
    </row>
    <row r="382" spans="1:6" ht="15">
      <c r="A382" s="45"/>
      <c r="B382" s="191" t="s">
        <v>260</v>
      </c>
      <c r="C382" s="192"/>
      <c r="D382" s="192"/>
      <c r="E382" s="193"/>
      <c r="F382" s="114"/>
    </row>
    <row r="383" spans="1:6">
      <c r="A383" s="45">
        <v>10</v>
      </c>
      <c r="B383" s="188" t="s">
        <v>261</v>
      </c>
      <c r="C383" s="189"/>
      <c r="D383" s="189"/>
      <c r="E383" s="190"/>
      <c r="F383" s="137">
        <f>F158</f>
        <v>138175</v>
      </c>
    </row>
    <row r="384" spans="1:6">
      <c r="A384" s="45">
        <v>11</v>
      </c>
      <c r="B384" s="188" t="s">
        <v>262</v>
      </c>
      <c r="C384" s="189"/>
      <c r="D384" s="189"/>
      <c r="E384" s="190"/>
      <c r="F384" s="137">
        <f>F171</f>
        <v>7500</v>
      </c>
    </row>
    <row r="385" spans="1:6">
      <c r="A385" s="45">
        <v>12</v>
      </c>
      <c r="B385" s="188" t="s">
        <v>263</v>
      </c>
      <c r="C385" s="189"/>
      <c r="D385" s="189"/>
      <c r="E385" s="190"/>
      <c r="F385" s="114" t="s">
        <v>136</v>
      </c>
    </row>
    <row r="386" spans="1:6" ht="15">
      <c r="A386" s="45"/>
      <c r="B386" s="191" t="s">
        <v>264</v>
      </c>
      <c r="C386" s="192"/>
      <c r="D386" s="192"/>
      <c r="E386" s="193"/>
      <c r="F386" s="114"/>
    </row>
    <row r="387" spans="1:6">
      <c r="A387" s="45">
        <v>13</v>
      </c>
      <c r="B387" s="188" t="s">
        <v>337</v>
      </c>
      <c r="C387" s="189"/>
      <c r="D387" s="189"/>
      <c r="E387" s="190"/>
      <c r="F387" s="137">
        <f>F188</f>
        <v>204245</v>
      </c>
    </row>
    <row r="388" spans="1:6">
      <c r="A388" s="54">
        <v>14</v>
      </c>
      <c r="B388" s="59" t="s">
        <v>265</v>
      </c>
      <c r="C388" s="60"/>
      <c r="D388" s="60"/>
      <c r="E388" s="61"/>
      <c r="F388" s="138">
        <f>F207</f>
        <v>1343175</v>
      </c>
    </row>
    <row r="389" spans="1:6" ht="15">
      <c r="A389" s="45"/>
      <c r="B389" s="50" t="s">
        <v>266</v>
      </c>
      <c r="C389" s="51"/>
      <c r="D389" s="51"/>
      <c r="E389" s="52"/>
      <c r="F389" s="114"/>
    </row>
    <row r="390" spans="1:6">
      <c r="A390" s="45">
        <v>15</v>
      </c>
      <c r="B390" s="188" t="s">
        <v>336</v>
      </c>
      <c r="C390" s="189"/>
      <c r="D390" s="189"/>
      <c r="E390" s="190"/>
      <c r="F390" s="137">
        <f>F267</f>
        <v>685810</v>
      </c>
    </row>
    <row r="391" spans="1:6">
      <c r="A391" s="45">
        <v>16</v>
      </c>
      <c r="B391" s="188" t="s">
        <v>267</v>
      </c>
      <c r="C391" s="189"/>
      <c r="D391" s="189"/>
      <c r="E391" s="190"/>
      <c r="F391" s="114">
        <f>F314</f>
        <v>561400</v>
      </c>
    </row>
    <row r="392" spans="1:6">
      <c r="A392" s="45">
        <v>17</v>
      </c>
      <c r="B392" s="188" t="s">
        <v>268</v>
      </c>
      <c r="C392" s="189"/>
      <c r="D392" s="189"/>
      <c r="E392" s="190"/>
      <c r="F392" s="114">
        <f>F335</f>
        <v>182500</v>
      </c>
    </row>
    <row r="393" spans="1:6">
      <c r="A393" s="45">
        <v>18</v>
      </c>
      <c r="B393" s="188" t="s">
        <v>269</v>
      </c>
      <c r="C393" s="189"/>
      <c r="D393" s="189"/>
      <c r="E393" s="190"/>
      <c r="F393" s="114">
        <f>F347</f>
        <v>104425</v>
      </c>
    </row>
    <row r="394" spans="1:6">
      <c r="A394" s="45">
        <v>19</v>
      </c>
      <c r="B394" s="188" t="s">
        <v>270</v>
      </c>
      <c r="C394" s="189"/>
      <c r="D394" s="189"/>
      <c r="E394" s="190"/>
      <c r="F394" s="114">
        <f>F351</f>
        <v>14500</v>
      </c>
    </row>
    <row r="395" spans="1:6">
      <c r="A395" s="45">
        <v>20</v>
      </c>
      <c r="B395" s="188" t="s">
        <v>271</v>
      </c>
      <c r="C395" s="189"/>
      <c r="D395" s="189"/>
      <c r="E395" s="190"/>
      <c r="F395" s="114">
        <f>F370</f>
        <v>39335</v>
      </c>
    </row>
    <row r="396" spans="1:6" ht="15">
      <c r="A396" s="58"/>
      <c r="B396" s="194" t="s">
        <v>412</v>
      </c>
      <c r="C396" s="195"/>
      <c r="D396" s="196"/>
      <c r="E396" s="58" t="s">
        <v>414</v>
      </c>
      <c r="F396" s="139">
        <f>SUM(F373:F395)</f>
        <v>5310962</v>
      </c>
    </row>
  </sheetData>
  <mergeCells count="65">
    <mergeCell ref="B394:E394"/>
    <mergeCell ref="B395:E395"/>
    <mergeCell ref="B396:D396"/>
    <mergeCell ref="B390:E390"/>
    <mergeCell ref="B391:E391"/>
    <mergeCell ref="B392:E392"/>
    <mergeCell ref="B393:E393"/>
    <mergeCell ref="B383:E383"/>
    <mergeCell ref="B384:E384"/>
    <mergeCell ref="B385:E385"/>
    <mergeCell ref="B386:E386"/>
    <mergeCell ref="B387:E387"/>
    <mergeCell ref="B378:E378"/>
    <mergeCell ref="B379:E379"/>
    <mergeCell ref="B380:E380"/>
    <mergeCell ref="B381:E381"/>
    <mergeCell ref="B382:E382"/>
    <mergeCell ref="B373:E373"/>
    <mergeCell ref="B374:E374"/>
    <mergeCell ref="B375:E375"/>
    <mergeCell ref="B376:E376"/>
    <mergeCell ref="B377:E377"/>
    <mergeCell ref="A64:F64"/>
    <mergeCell ref="A171:E171"/>
    <mergeCell ref="B172:E172"/>
    <mergeCell ref="A207:E207"/>
    <mergeCell ref="A372:F372"/>
    <mergeCell ref="B180:E180"/>
    <mergeCell ref="B267:E267"/>
    <mergeCell ref="A188:E188"/>
    <mergeCell ref="B65:F65"/>
    <mergeCell ref="A76:E76"/>
    <mergeCell ref="A77:F77"/>
    <mergeCell ref="B78:F78"/>
    <mergeCell ref="A87:E87"/>
    <mergeCell ref="B89:F89"/>
    <mergeCell ref="B335:E335"/>
    <mergeCell ref="A122:E122"/>
    <mergeCell ref="A41:F41"/>
    <mergeCell ref="B42:F42"/>
    <mergeCell ref="A51:E51"/>
    <mergeCell ref="B52:F52"/>
    <mergeCell ref="A63:E63"/>
    <mergeCell ref="B2:F2"/>
    <mergeCell ref="A23:E23"/>
    <mergeCell ref="A24:F24"/>
    <mergeCell ref="B25:F25"/>
    <mergeCell ref="A40:E40"/>
    <mergeCell ref="A123:F123"/>
    <mergeCell ref="A247:A258"/>
    <mergeCell ref="B208:E208"/>
    <mergeCell ref="B124:F124"/>
    <mergeCell ref="A132:E132"/>
    <mergeCell ref="A133:F133"/>
    <mergeCell ref="A144:E144"/>
    <mergeCell ref="A158:E158"/>
    <mergeCell ref="A179:E179"/>
    <mergeCell ref="C191:C193"/>
    <mergeCell ref="D191:D193"/>
    <mergeCell ref="E191:E193"/>
    <mergeCell ref="B347:E347"/>
    <mergeCell ref="B370:E370"/>
    <mergeCell ref="F191:F193"/>
    <mergeCell ref="A225:A246"/>
    <mergeCell ref="B314:E314"/>
  </mergeCells>
  <phoneticPr fontId="13" type="noConversion"/>
  <printOptions horizontalCentered="1"/>
  <pageMargins left="3.937007874015748E-2" right="3.937007874015748E-2" top="1.2598425196850394" bottom="0.74803149606299213" header="0.31496062992125984" footer="0.31496062992125984"/>
  <pageSetup orientation="portrait" r:id="rId1"/>
  <headerFooter>
    <oddHeader>&amp;L&amp;G&amp;C
APPENDIX 1&amp;RREF: VMID-25031-V1-SM-2209
BILL OF QUANTITIES
BOUNCE,SOLITAIRE MALL
FIT OUT WORKS</oddHeader>
  </headerFooter>
  <ignoredErrors>
    <ignoredError sqref="C4 C16:C17 C12:C14 C7 C9:C11" numberStoredAsText="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FAKHOURY</dc:creator>
  <cp:lastModifiedBy>AL WAHAB LAPTOP</cp:lastModifiedBy>
  <cp:lastPrinted>2025-09-22T11:22:36Z</cp:lastPrinted>
  <dcterms:created xsi:type="dcterms:W3CDTF">2024-11-21T10:03:21Z</dcterms:created>
  <dcterms:modified xsi:type="dcterms:W3CDTF">2026-04-26T09:47:38Z</dcterms:modified>
</cp:coreProperties>
</file>